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osjarc\Desktop\dent\"/>
    </mc:Choice>
  </mc:AlternateContent>
  <xr:revisionPtr revIDLastSave="0" documentId="13_ncr:1_{CCB41A00-ADD5-4CB4-877F-0BC89CCCF982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ela" sheetId="1" r:id="rId1"/>
    <sheet name="Nalog" sheetId="3" r:id="rId2"/>
    <sheet name="Cenik" sheetId="5" r:id="rId3"/>
    <sheet name="Data" sheetId="2" r:id="rId4"/>
  </sheets>
  <functionGroups builtInGroupCount="19"/>
  <definedNames>
    <definedName name="pacient">Nalog!$F$8</definedName>
    <definedName name="vsota">Nalog!$AK$8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1" i="5" l="1"/>
  <c r="D172" i="5"/>
  <c r="D166" i="5"/>
  <c r="D160" i="5"/>
  <c r="D154" i="5"/>
  <c r="D146" i="5"/>
  <c r="D143" i="5"/>
  <c r="D135" i="5"/>
  <c r="D70" i="5"/>
  <c r="D65" i="5"/>
  <c r="D62" i="5"/>
  <c r="D32" i="5"/>
  <c r="D29" i="5"/>
  <c r="AK11" i="3" l="1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10" i="3"/>
  <c r="AJ357" i="3"/>
  <c r="AJ358" i="3"/>
  <c r="AJ359" i="3"/>
  <c r="AJ360" i="3"/>
  <c r="AJ361" i="3"/>
  <c r="AJ362" i="3"/>
  <c r="AJ363" i="3"/>
  <c r="AJ364" i="3"/>
  <c r="AJ365" i="3"/>
  <c r="AJ366" i="3"/>
  <c r="AJ367" i="3"/>
  <c r="AJ368" i="3"/>
  <c r="AJ369" i="3"/>
  <c r="AJ370" i="3"/>
  <c r="AO17" i="3" l="1"/>
  <c r="F8" i="3"/>
  <c r="K2" i="3"/>
  <c r="F3" i="3"/>
  <c r="AJ12" i="3"/>
  <c r="AJ13" i="3"/>
  <c r="AJ14" i="3"/>
  <c r="AJ15" i="3"/>
  <c r="AJ16" i="3"/>
  <c r="AJ17" i="3"/>
  <c r="AJ18" i="3"/>
  <c r="AO13" i="3" s="1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58" i="3"/>
  <c r="AJ59" i="3"/>
  <c r="AJ60" i="3"/>
  <c r="AJ61" i="3"/>
  <c r="AJ62" i="3"/>
  <c r="AJ63" i="3"/>
  <c r="AJ64" i="3"/>
  <c r="AJ65" i="3"/>
  <c r="AJ66" i="3"/>
  <c r="AJ67" i="3"/>
  <c r="AJ68" i="3"/>
  <c r="AJ69" i="3"/>
  <c r="AJ70" i="3"/>
  <c r="AJ71" i="3"/>
  <c r="AJ72" i="3"/>
  <c r="AJ73" i="3"/>
  <c r="AJ74" i="3"/>
  <c r="AJ75" i="3"/>
  <c r="AJ76" i="3"/>
  <c r="AJ77" i="3"/>
  <c r="AJ78" i="3"/>
  <c r="AJ79" i="3"/>
  <c r="AJ80" i="3"/>
  <c r="AJ81" i="3"/>
  <c r="AJ82" i="3"/>
  <c r="AJ83" i="3"/>
  <c r="AJ84" i="3"/>
  <c r="AJ85" i="3"/>
  <c r="AJ86" i="3"/>
  <c r="AJ87" i="3"/>
  <c r="AJ88" i="3"/>
  <c r="AJ89" i="3"/>
  <c r="AJ90" i="3"/>
  <c r="AJ91" i="3"/>
  <c r="AJ92" i="3"/>
  <c r="AJ93" i="3"/>
  <c r="AJ94" i="3"/>
  <c r="AJ95" i="3"/>
  <c r="AJ96" i="3"/>
  <c r="AJ97" i="3"/>
  <c r="AJ98" i="3"/>
  <c r="AJ99" i="3"/>
  <c r="AJ100" i="3"/>
  <c r="AJ101" i="3"/>
  <c r="AJ102" i="3"/>
  <c r="AJ103" i="3"/>
  <c r="AJ104" i="3"/>
  <c r="AJ105" i="3"/>
  <c r="AJ106" i="3"/>
  <c r="AJ107" i="3"/>
  <c r="AJ108" i="3"/>
  <c r="AJ109" i="3"/>
  <c r="AJ110" i="3"/>
  <c r="AJ111" i="3"/>
  <c r="AJ112" i="3"/>
  <c r="AJ113" i="3"/>
  <c r="AJ114" i="3"/>
  <c r="AJ115" i="3"/>
  <c r="AJ116" i="3"/>
  <c r="AJ117" i="3"/>
  <c r="AJ118" i="3"/>
  <c r="AJ119" i="3"/>
  <c r="AJ120" i="3"/>
  <c r="AJ121" i="3"/>
  <c r="AJ122" i="3"/>
  <c r="AJ123" i="3"/>
  <c r="AJ124" i="3"/>
  <c r="AJ125" i="3"/>
  <c r="AJ126" i="3"/>
  <c r="AJ127" i="3"/>
  <c r="AJ128" i="3"/>
  <c r="AJ129" i="3"/>
  <c r="AJ130" i="3"/>
  <c r="AJ131" i="3"/>
  <c r="AJ132" i="3"/>
  <c r="AJ133" i="3"/>
  <c r="AJ134" i="3"/>
  <c r="AJ135" i="3"/>
  <c r="AJ136" i="3"/>
  <c r="AJ137" i="3"/>
  <c r="AJ138" i="3"/>
  <c r="AJ139" i="3"/>
  <c r="AJ140" i="3"/>
  <c r="AJ141" i="3"/>
  <c r="AJ142" i="3"/>
  <c r="AJ143" i="3"/>
  <c r="AJ144" i="3"/>
  <c r="AJ145" i="3"/>
  <c r="AJ146" i="3"/>
  <c r="AJ147" i="3"/>
  <c r="AJ148" i="3"/>
  <c r="AJ149" i="3"/>
  <c r="AJ150" i="3"/>
  <c r="AJ151" i="3"/>
  <c r="AJ152" i="3"/>
  <c r="AJ153" i="3"/>
  <c r="AJ154" i="3"/>
  <c r="AJ155" i="3"/>
  <c r="AJ156" i="3"/>
  <c r="AJ157" i="3"/>
  <c r="AJ158" i="3"/>
  <c r="AJ159" i="3"/>
  <c r="AJ160" i="3"/>
  <c r="AJ161" i="3"/>
  <c r="AJ162" i="3"/>
  <c r="AJ163" i="3"/>
  <c r="AJ164" i="3"/>
  <c r="AJ165" i="3"/>
  <c r="AJ166" i="3"/>
  <c r="AJ167" i="3"/>
  <c r="AJ168" i="3"/>
  <c r="AJ169" i="3"/>
  <c r="AJ170" i="3"/>
  <c r="AJ171" i="3"/>
  <c r="AJ172" i="3"/>
  <c r="AJ173" i="3"/>
  <c r="AJ174" i="3"/>
  <c r="AJ175" i="3"/>
  <c r="AJ176" i="3"/>
  <c r="AJ177" i="3"/>
  <c r="AJ178" i="3"/>
  <c r="AJ179" i="3"/>
  <c r="AJ180" i="3"/>
  <c r="AJ181" i="3"/>
  <c r="AJ182" i="3"/>
  <c r="AJ183" i="3"/>
  <c r="AJ184" i="3"/>
  <c r="AJ185" i="3"/>
  <c r="AJ186" i="3"/>
  <c r="AJ187" i="3"/>
  <c r="AJ188" i="3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09" i="3"/>
  <c r="AJ210" i="3"/>
  <c r="AJ211" i="3"/>
  <c r="AJ212" i="3"/>
  <c r="AJ213" i="3"/>
  <c r="AJ214" i="3"/>
  <c r="AJ215" i="3"/>
  <c r="AJ216" i="3"/>
  <c r="AJ217" i="3"/>
  <c r="AJ218" i="3"/>
  <c r="AJ219" i="3"/>
  <c r="AJ220" i="3"/>
  <c r="AJ221" i="3"/>
  <c r="AJ222" i="3"/>
  <c r="AJ223" i="3"/>
  <c r="AJ224" i="3"/>
  <c r="AJ225" i="3"/>
  <c r="AJ226" i="3"/>
  <c r="AJ227" i="3"/>
  <c r="AJ228" i="3"/>
  <c r="AJ229" i="3"/>
  <c r="AJ230" i="3"/>
  <c r="AJ231" i="3"/>
  <c r="AJ232" i="3"/>
  <c r="AJ233" i="3"/>
  <c r="AJ234" i="3"/>
  <c r="AJ235" i="3"/>
  <c r="AJ236" i="3"/>
  <c r="AJ237" i="3"/>
  <c r="AJ238" i="3"/>
  <c r="AJ239" i="3"/>
  <c r="AJ240" i="3"/>
  <c r="AJ241" i="3"/>
  <c r="AJ242" i="3"/>
  <c r="AJ243" i="3"/>
  <c r="AJ244" i="3"/>
  <c r="AJ245" i="3"/>
  <c r="AJ246" i="3"/>
  <c r="AJ247" i="3"/>
  <c r="AJ248" i="3"/>
  <c r="AJ249" i="3"/>
  <c r="AJ250" i="3"/>
  <c r="AJ251" i="3"/>
  <c r="AJ252" i="3"/>
  <c r="AJ253" i="3"/>
  <c r="AJ254" i="3"/>
  <c r="AJ255" i="3"/>
  <c r="AJ256" i="3"/>
  <c r="AJ257" i="3"/>
  <c r="AJ258" i="3"/>
  <c r="AJ259" i="3"/>
  <c r="AJ260" i="3"/>
  <c r="AJ261" i="3"/>
  <c r="AJ262" i="3"/>
  <c r="AJ263" i="3"/>
  <c r="AJ264" i="3"/>
  <c r="AJ265" i="3"/>
  <c r="AJ266" i="3"/>
  <c r="AJ267" i="3"/>
  <c r="AJ268" i="3"/>
  <c r="AJ269" i="3"/>
  <c r="AJ270" i="3"/>
  <c r="AJ271" i="3"/>
  <c r="AJ272" i="3"/>
  <c r="AJ273" i="3"/>
  <c r="AJ274" i="3"/>
  <c r="AJ275" i="3"/>
  <c r="AJ276" i="3"/>
  <c r="AJ277" i="3"/>
  <c r="AJ278" i="3"/>
  <c r="AJ279" i="3"/>
  <c r="AJ280" i="3"/>
  <c r="AJ281" i="3"/>
  <c r="AJ282" i="3"/>
  <c r="AJ283" i="3"/>
  <c r="AJ284" i="3"/>
  <c r="AJ285" i="3"/>
  <c r="AJ286" i="3"/>
  <c r="AJ287" i="3"/>
  <c r="AJ288" i="3"/>
  <c r="AJ289" i="3"/>
  <c r="AJ290" i="3"/>
  <c r="AJ291" i="3"/>
  <c r="AJ292" i="3"/>
  <c r="AJ293" i="3"/>
  <c r="AJ294" i="3"/>
  <c r="AJ295" i="3"/>
  <c r="AJ296" i="3"/>
  <c r="AJ297" i="3"/>
  <c r="AJ298" i="3"/>
  <c r="AJ299" i="3"/>
  <c r="AJ300" i="3"/>
  <c r="AJ301" i="3"/>
  <c r="AJ302" i="3"/>
  <c r="AJ303" i="3"/>
  <c r="AJ304" i="3"/>
  <c r="AJ305" i="3"/>
  <c r="AJ306" i="3"/>
  <c r="AJ307" i="3"/>
  <c r="AJ308" i="3"/>
  <c r="AJ309" i="3"/>
  <c r="AJ310" i="3"/>
  <c r="AJ311" i="3"/>
  <c r="AJ312" i="3"/>
  <c r="AJ313" i="3"/>
  <c r="AJ314" i="3"/>
  <c r="AJ315" i="3"/>
  <c r="AJ316" i="3"/>
  <c r="AJ317" i="3"/>
  <c r="AJ318" i="3"/>
  <c r="AJ319" i="3"/>
  <c r="AJ320" i="3"/>
  <c r="AJ321" i="3"/>
  <c r="AJ322" i="3"/>
  <c r="AJ323" i="3"/>
  <c r="AJ324" i="3"/>
  <c r="AJ325" i="3"/>
  <c r="AJ326" i="3"/>
  <c r="AJ327" i="3"/>
  <c r="AJ328" i="3"/>
  <c r="AJ329" i="3"/>
  <c r="AJ330" i="3"/>
  <c r="AJ331" i="3"/>
  <c r="AJ332" i="3"/>
  <c r="AJ333" i="3"/>
  <c r="AJ334" i="3"/>
  <c r="AJ335" i="3"/>
  <c r="AJ336" i="3"/>
  <c r="AJ337" i="3"/>
  <c r="AJ338" i="3"/>
  <c r="AJ339" i="3"/>
  <c r="AJ340" i="3"/>
  <c r="AJ341" i="3"/>
  <c r="AJ342" i="3"/>
  <c r="AJ343" i="3"/>
  <c r="AJ344" i="3"/>
  <c r="AJ345" i="3"/>
  <c r="AJ346" i="3"/>
  <c r="AJ347" i="3"/>
  <c r="AJ348" i="3"/>
  <c r="AJ349" i="3"/>
  <c r="AJ350" i="3"/>
  <c r="AJ351" i="3"/>
  <c r="AJ352" i="3"/>
  <c r="AJ353" i="3"/>
  <c r="AJ354" i="3"/>
  <c r="AJ355" i="3"/>
  <c r="AJ356" i="3"/>
  <c r="AJ10" i="3"/>
  <c r="AO12" i="3"/>
  <c r="AO14" i="3"/>
  <c r="AO10" i="3"/>
  <c r="AO15" i="3" l="1"/>
  <c r="AO11" i="3"/>
  <c r="AO16" i="3" l="1"/>
</calcChain>
</file>

<file path=xl/sharedStrings.xml><?xml version="1.0" encoding="utf-8"?>
<sst xmlns="http://schemas.openxmlformats.org/spreadsheetml/2006/main" count="1243" uniqueCount="572">
  <si>
    <t>Predal</t>
  </si>
  <si>
    <t>Datum</t>
  </si>
  <si>
    <t>Terapevt</t>
  </si>
  <si>
    <t>Pacient</t>
  </si>
  <si>
    <t>Status</t>
  </si>
  <si>
    <t>Naročilo</t>
  </si>
  <si>
    <t>Material</t>
  </si>
  <si>
    <t>Barva</t>
  </si>
  <si>
    <t>Proba</t>
  </si>
  <si>
    <t>Izgotovitev</t>
  </si>
  <si>
    <t>3GO</t>
  </si>
  <si>
    <t>Megfid</t>
  </si>
  <si>
    <t>STOMATOLOŠKA KLINIKA</t>
  </si>
  <si>
    <t>ZD Logatec</t>
  </si>
  <si>
    <t>ADS</t>
  </si>
  <si>
    <t>Ardens</t>
  </si>
  <si>
    <t>Nedeljkovič Tanja</t>
  </si>
  <si>
    <t xml:space="preserve">Mezeg Uroš </t>
  </si>
  <si>
    <t>KKP</t>
  </si>
  <si>
    <t>BKP</t>
  </si>
  <si>
    <t>Dentor S</t>
  </si>
  <si>
    <t>CoCr</t>
  </si>
  <si>
    <t>Zr</t>
  </si>
  <si>
    <t>LiSi</t>
  </si>
  <si>
    <t>V16N</t>
  </si>
  <si>
    <t>VE</t>
  </si>
  <si>
    <t>Proviz</t>
  </si>
  <si>
    <t>Parc. Prot</t>
  </si>
  <si>
    <t>Tot. Prot.</t>
  </si>
  <si>
    <t>PMMA</t>
  </si>
  <si>
    <t>Reparatura</t>
  </si>
  <si>
    <t>Inlay</t>
  </si>
  <si>
    <t>HC</t>
  </si>
  <si>
    <t>Kompozit</t>
  </si>
  <si>
    <t>Monolit</t>
  </si>
  <si>
    <t>Kovina</t>
  </si>
  <si>
    <t>Nosilec</t>
  </si>
  <si>
    <t>Zob</t>
  </si>
  <si>
    <t>Implantat</t>
  </si>
  <si>
    <t>Konus</t>
  </si>
  <si>
    <t>Navosek</t>
  </si>
  <si>
    <t>Opornica</t>
  </si>
  <si>
    <t>Status1</t>
  </si>
  <si>
    <t xml:space="preserve">Status2 </t>
  </si>
  <si>
    <t>zg</t>
  </si>
  <si>
    <t>sp</t>
  </si>
  <si>
    <t/>
  </si>
  <si>
    <t>DENTEX</t>
  </si>
  <si>
    <t>?</t>
  </si>
  <si>
    <t>MG</t>
  </si>
  <si>
    <t>Alenka Repanšek</t>
  </si>
  <si>
    <t>7x e-max  4x impl</t>
  </si>
  <si>
    <t>Srečo Klemenčič</t>
  </si>
  <si>
    <t>Ana Baškovič</t>
  </si>
  <si>
    <t xml:space="preserve">7 2 </t>
  </si>
  <si>
    <t>1x e-max  1x kkp</t>
  </si>
  <si>
    <t>Jelena Lazarevič</t>
  </si>
  <si>
    <t>1xe-max imp</t>
  </si>
  <si>
    <t>dr. Tanja</t>
  </si>
  <si>
    <t>Angela Mihelj</t>
  </si>
  <si>
    <t>most auropal</t>
  </si>
  <si>
    <t>Špela Pogačnik</t>
  </si>
  <si>
    <t>provizorij</t>
  </si>
  <si>
    <t>dr. Stamboldžioski</t>
  </si>
  <si>
    <t>Jadranka Denjagić</t>
  </si>
  <si>
    <t>4x6</t>
  </si>
  <si>
    <t>sprememba načrta</t>
  </si>
  <si>
    <t>Marija Žgavec</t>
  </si>
  <si>
    <t>4 5 6</t>
  </si>
  <si>
    <t>3x ? na imp</t>
  </si>
  <si>
    <t xml:space="preserve">Ornella Marega </t>
  </si>
  <si>
    <t xml:space="preserve"> </t>
  </si>
  <si>
    <t>7 6 5</t>
  </si>
  <si>
    <t>Valeria Mollo</t>
  </si>
  <si>
    <t>dr. Korošec</t>
  </si>
  <si>
    <t>Bojan Grilj</t>
  </si>
  <si>
    <t>6x4x21 1x34</t>
  </si>
  <si>
    <t>Miha Jahur</t>
  </si>
  <si>
    <t>Studijski model</t>
  </si>
  <si>
    <t>dr. Una Merlak</t>
  </si>
  <si>
    <t>Anita Peceli Gaber</t>
  </si>
  <si>
    <t>65x</t>
  </si>
  <si>
    <t>3x provizorij</t>
  </si>
  <si>
    <t>Barbara Pogačar</t>
  </si>
  <si>
    <t>x7</t>
  </si>
  <si>
    <t>2x Zr ali kkp</t>
  </si>
  <si>
    <t>Stina Avdič Čepak</t>
  </si>
  <si>
    <t>321 123</t>
  </si>
  <si>
    <t>6x emax</t>
  </si>
  <si>
    <t>Tatjana Dolanc</t>
  </si>
  <si>
    <t>Alenka Hribar</t>
  </si>
  <si>
    <t>1x komp. Overlay</t>
  </si>
  <si>
    <t>Matej Slapnik</t>
  </si>
  <si>
    <t>2 6 7 6 7</t>
  </si>
  <si>
    <t>4x komp. Ov. 1x pkp</t>
  </si>
  <si>
    <t>Plombica</t>
  </si>
  <si>
    <t>Marko Poženel</t>
  </si>
  <si>
    <t>2 3</t>
  </si>
  <si>
    <t>2x KKP na impl</t>
  </si>
  <si>
    <t>Alojzija Mržek</t>
  </si>
  <si>
    <t>zg.  In  sp TP</t>
  </si>
  <si>
    <t>2x Tot. P.</t>
  </si>
  <si>
    <t>ARDENS</t>
  </si>
  <si>
    <t>Božena Zubin</t>
  </si>
  <si>
    <t xml:space="preserve">3 3 5 </t>
  </si>
  <si>
    <t>Andrej Božičnik</t>
  </si>
  <si>
    <t>6 7</t>
  </si>
  <si>
    <t>2x komp. Inlay</t>
  </si>
  <si>
    <t>Kristjan Kikovič</t>
  </si>
  <si>
    <t>1x ? na impl.</t>
  </si>
  <si>
    <t>dr. Marion</t>
  </si>
  <si>
    <t>Franci V.</t>
  </si>
  <si>
    <t>321 12 6 / 8 5432 2345</t>
  </si>
  <si>
    <t>navosek</t>
  </si>
  <si>
    <t>BELI MEDVED</t>
  </si>
  <si>
    <t>Anton Žižek</t>
  </si>
  <si>
    <t>7654321 1234567</t>
  </si>
  <si>
    <t>14x Zr</t>
  </si>
  <si>
    <t xml:space="preserve">1 4 </t>
  </si>
  <si>
    <t>dr. Hrovat Katarina</t>
  </si>
  <si>
    <t>Petra Vladimirov</t>
  </si>
  <si>
    <t>dr. Barbara R.</t>
  </si>
  <si>
    <t>Natalija</t>
  </si>
  <si>
    <t>prihod tehnika v ordinacijo</t>
  </si>
  <si>
    <t>dr. Kuhar</t>
  </si>
  <si>
    <t>Barbara Gibičar</t>
  </si>
  <si>
    <t>? Impl.</t>
  </si>
  <si>
    <t>dr. Barbara Golob</t>
  </si>
  <si>
    <t>Janko Brunček</t>
  </si>
  <si>
    <t>zg.</t>
  </si>
  <si>
    <t>začasni provizorij</t>
  </si>
  <si>
    <t>Breda Konjar</t>
  </si>
  <si>
    <t>15x navosek</t>
  </si>
  <si>
    <t>dr.Tanja</t>
  </si>
  <si>
    <t>Darja Vodopivec</t>
  </si>
  <si>
    <t>3 4 5 6</t>
  </si>
  <si>
    <t>4x emax</t>
  </si>
  <si>
    <t>6.7.</t>
  </si>
  <si>
    <t>21.6.</t>
  </si>
  <si>
    <t>13.7.</t>
  </si>
  <si>
    <t>26.6.</t>
  </si>
  <si>
    <t>20.7.</t>
  </si>
  <si>
    <t>24.5.</t>
  </si>
  <si>
    <t>22.5.</t>
  </si>
  <si>
    <t>29.6.</t>
  </si>
  <si>
    <t>2.8.</t>
  </si>
  <si>
    <t>6.6.</t>
  </si>
  <si>
    <t>14.5.</t>
  </si>
  <si>
    <t>4.7.</t>
  </si>
  <si>
    <t>5.7.</t>
  </si>
  <si>
    <t>18.7.</t>
  </si>
  <si>
    <t>25.7.</t>
  </si>
  <si>
    <t>18.6.</t>
  </si>
  <si>
    <t>30.3.</t>
  </si>
  <si>
    <t>28.3.</t>
  </si>
  <si>
    <t>30.7.</t>
  </si>
  <si>
    <t>Tanja Nedeljkovič</t>
  </si>
  <si>
    <t>Boštjan Modic</t>
  </si>
  <si>
    <t>B3</t>
  </si>
  <si>
    <t xml:space="preserve">21.8. </t>
  </si>
  <si>
    <t>11.9.</t>
  </si>
  <si>
    <t>Antonio Demarghi</t>
  </si>
  <si>
    <t>Nataša Oreas</t>
  </si>
  <si>
    <t>19.6.</t>
  </si>
  <si>
    <t>Mitja Škrbec</t>
  </si>
  <si>
    <t>Porcelan</t>
  </si>
  <si>
    <t>Auropal SE</t>
  </si>
  <si>
    <t>Inlay/Onlay</t>
  </si>
  <si>
    <t>PKP</t>
  </si>
  <si>
    <t>/ 4567</t>
  </si>
  <si>
    <t>65x32 /</t>
  </si>
  <si>
    <t>654321 / 1234x6</t>
  </si>
  <si>
    <t>21 / 12</t>
  </si>
  <si>
    <t>/ 3x5x</t>
  </si>
  <si>
    <t>Ime Priimek</t>
  </si>
  <si>
    <t>tel:</t>
  </si>
  <si>
    <t>Sidro</t>
  </si>
  <si>
    <t>Priprava</t>
  </si>
  <si>
    <t xml:space="preserve">Snemna </t>
  </si>
  <si>
    <t>CadCam</t>
  </si>
  <si>
    <t>Delo na  implantaih</t>
  </si>
  <si>
    <t>Implantati</t>
  </si>
  <si>
    <t>model - epoxy smola  (kvadrant)</t>
  </si>
  <si>
    <t>model - dodatni  (deljen, delavni)</t>
  </si>
  <si>
    <t>model - dodatni  (študijski)</t>
  </si>
  <si>
    <t>vmavčevanje v artikulator</t>
  </si>
  <si>
    <t>vmavčevanje z obraznim lokom</t>
  </si>
  <si>
    <t>prevmavčevanje</t>
  </si>
  <si>
    <t>dubliranje v silikonu</t>
  </si>
  <si>
    <t>gingivalna maska</t>
  </si>
  <si>
    <t>odtisna žlica akrilna, indiv.</t>
  </si>
  <si>
    <t>grizni robnik</t>
  </si>
  <si>
    <t>šablona za vijačenje</t>
  </si>
  <si>
    <t>šablona za cementiranje</t>
  </si>
  <si>
    <t>šablona za odtiskovanje</t>
  </si>
  <si>
    <t>šablona za korekcijsko brušenje</t>
  </si>
  <si>
    <t>šablona za radiološko načrtovanje</t>
  </si>
  <si>
    <t>šablona za radiološko kirurško vodilo</t>
  </si>
  <si>
    <t>šablona za paralelizacijo nosilcev</t>
  </si>
  <si>
    <t xml:space="preserve">postavitev titanovih vodil </t>
  </si>
  <si>
    <t>okluzijske opornice (akrilne)</t>
  </si>
  <si>
    <t>ščitnik za športnike</t>
  </si>
  <si>
    <t>šablona za beljenje</t>
  </si>
  <si>
    <t>postavitev mavčnega zoba</t>
  </si>
  <si>
    <t>globoki vlek - folija</t>
  </si>
  <si>
    <t>navosek na akrilnem ogrodju - snemljiv</t>
  </si>
  <si>
    <t>provizorij - enobarvni tankoslojni</t>
  </si>
  <si>
    <t>provizorij - večbarvni</t>
  </si>
  <si>
    <t>provizorij - snemni ( 1 element + 2 sidri )</t>
  </si>
  <si>
    <t xml:space="preserve">                            vsak dodatni element</t>
  </si>
  <si>
    <t xml:space="preserve">                            dodatni uliti element</t>
  </si>
  <si>
    <t xml:space="preserve">ojačitev provizorija, ogrodij </t>
  </si>
  <si>
    <t>priprava površin za adhez. leplj.</t>
  </si>
  <si>
    <t xml:space="preserve">dezinfekcija in čiščenje </t>
  </si>
  <si>
    <t>IPS Classic</t>
  </si>
  <si>
    <t>Shofu Vintage MP</t>
  </si>
  <si>
    <t>IPS d'Sign</t>
  </si>
  <si>
    <t>GC Initial Lf</t>
  </si>
  <si>
    <t>individualna obravnava interkaninega zoba</t>
  </si>
  <si>
    <t>peka vratne mase</t>
  </si>
  <si>
    <t>kovinsko-kompozitna prevleka</t>
  </si>
  <si>
    <t>kovinsko-akrilna (fasetirana) prevleka</t>
  </si>
  <si>
    <t>teleskopska prevleka ( I.element )</t>
  </si>
  <si>
    <t>polna kovinska prevleka, inlay, onlay</t>
  </si>
  <si>
    <t>nazidek - direktni</t>
  </si>
  <si>
    <t>nazidek - indirektni</t>
  </si>
  <si>
    <t>koreninska kapica</t>
  </si>
  <si>
    <t>izdelava interlocka ( I.del )</t>
  </si>
  <si>
    <t>vgraditev sidra, sklepne; vijačne vezi</t>
  </si>
  <si>
    <t>rezkanje elementa, sidra, gredi, ...</t>
  </si>
  <si>
    <t>spajkanje, varjenje (quasar, plamen)</t>
  </si>
  <si>
    <t>varjenje - laser                                   (min)</t>
  </si>
  <si>
    <t>retainer</t>
  </si>
  <si>
    <t>ponovna izdelava kovinskega ogrodja</t>
  </si>
  <si>
    <t>ponovno fasetiranje</t>
  </si>
  <si>
    <t>obsežnejše preoblikovnje kov. ogrodja</t>
  </si>
  <si>
    <t>obsežnejša reokluzija, reartikulacija</t>
  </si>
  <si>
    <t>zlatitev kov. ogrodja</t>
  </si>
  <si>
    <t xml:space="preserve">galvano element </t>
  </si>
  <si>
    <t>ulivanje titana</t>
  </si>
  <si>
    <t>ulita baza - Ti</t>
  </si>
  <si>
    <t>lepljenje sider, sklepnih vezi, ...</t>
  </si>
  <si>
    <t>dodatek za delo na vsadkih</t>
  </si>
  <si>
    <t>preoblikovanje abutmenta</t>
  </si>
  <si>
    <t>nacrtovanje, izdelava vijačnega kanala</t>
  </si>
  <si>
    <t>nacrtovanje, izdelava abutmenta</t>
  </si>
  <si>
    <t>obdelava vij. konstrukcij - do 7 el.</t>
  </si>
  <si>
    <t>obdelava vij. konstrukcij - nad 7 el.</t>
  </si>
  <si>
    <t>provizorij abutment - akrilni, indiv.</t>
  </si>
  <si>
    <t>indiv. oblikovan odtisni prenosnik</t>
  </si>
  <si>
    <t>abutment Co-Cr</t>
  </si>
  <si>
    <t>ogrodje Ti All in One</t>
  </si>
  <si>
    <t>gred in proti gred z sidri</t>
  </si>
  <si>
    <t>E-max ceram</t>
  </si>
  <si>
    <t>E-max press - površinsko toniranje</t>
  </si>
  <si>
    <t>E-max press - ogrodje, dir. nazidek</t>
  </si>
  <si>
    <t>E-max press - indirektni nazidek</t>
  </si>
  <si>
    <t>E-max press - na Zr ogrodju</t>
  </si>
  <si>
    <t>E-max press - multi</t>
  </si>
  <si>
    <t>Shofu Vintage - Zr</t>
  </si>
  <si>
    <t xml:space="preserve">ogrodje - Zr </t>
  </si>
  <si>
    <t xml:space="preserve">Zr monolit - glaziran </t>
  </si>
  <si>
    <t xml:space="preserve">Zr monolit - poliran </t>
  </si>
  <si>
    <t>peka na vložni masi, platinski foliji</t>
  </si>
  <si>
    <t>kompozit - inlay, luska, prevleka</t>
  </si>
  <si>
    <t>ojačitev kompozita s steklenimi vlakni</t>
  </si>
  <si>
    <t>totalna proteza</t>
  </si>
  <si>
    <t>totalna proteza-klasična</t>
  </si>
  <si>
    <t>delna proteza-klasična</t>
  </si>
  <si>
    <t>izgotovitev delne proteze na uliti bazi</t>
  </si>
  <si>
    <t>delna proteza vinyl-acetat</t>
  </si>
  <si>
    <t>izdelava zoba v protezi</t>
  </si>
  <si>
    <t>karakterizacija konfekcijskega zoba</t>
  </si>
  <si>
    <t>karakterizacija gingive v tot. prot</t>
  </si>
  <si>
    <t xml:space="preserve">prepostavitev zoba </t>
  </si>
  <si>
    <t>ulita baza- z zaponami</t>
  </si>
  <si>
    <t>ulita baza- na sidrih</t>
  </si>
  <si>
    <t>Kennedy-jeva zvezna zapona</t>
  </si>
  <si>
    <t xml:space="preserve">kov. nebna plošča, veliki vezni el. </t>
  </si>
  <si>
    <t>enostavno ogrodje za ojačitev  protez</t>
  </si>
  <si>
    <t>zlatitev proteze</t>
  </si>
  <si>
    <t>Bio dental plast</t>
  </si>
  <si>
    <t>enostavno popravilo (zloma, zoba...)</t>
  </si>
  <si>
    <t xml:space="preserve">                   vsak dodatni vgrajen el.</t>
  </si>
  <si>
    <t xml:space="preserve">                   ulita naslonka ali zapona</t>
  </si>
  <si>
    <t>podložitev proteze</t>
  </si>
  <si>
    <t>čiščenje proteze</t>
  </si>
  <si>
    <t>menjava sidrnih elementov</t>
  </si>
  <si>
    <t>poštnina</t>
  </si>
  <si>
    <t>hitra pošta</t>
  </si>
  <si>
    <t xml:space="preserve">dostava in prevzem do - 30 km </t>
  </si>
  <si>
    <t xml:space="preserve">dostava in prevzem nad - 30 km </t>
  </si>
  <si>
    <t xml:space="preserve">prihod zobnega tehnika v ordinacijo </t>
  </si>
  <si>
    <t>Prevzem dostava</t>
  </si>
  <si>
    <t>Ceramic U</t>
  </si>
  <si>
    <t>Novor</t>
  </si>
  <si>
    <t>Auropal S</t>
  </si>
  <si>
    <t>Au - Galvano</t>
  </si>
  <si>
    <t>Tillite euro P</t>
  </si>
  <si>
    <t>Skeniranje modela</t>
  </si>
  <si>
    <t>Cad Cam - WAX</t>
  </si>
  <si>
    <t>Cad Cam - PMMA</t>
  </si>
  <si>
    <t>Cad Cam - HC</t>
  </si>
  <si>
    <t>Cad Cam - Zr</t>
  </si>
  <si>
    <t>Cad Cam - CoCR</t>
  </si>
  <si>
    <t>Cad Cam - LiSi</t>
  </si>
  <si>
    <t>Anatomska modelacija</t>
  </si>
  <si>
    <t>Slojen PMMA</t>
  </si>
  <si>
    <t>Zr transparent</t>
  </si>
  <si>
    <t>Bruxzir</t>
  </si>
  <si>
    <t>Sinter podpora</t>
  </si>
  <si>
    <t>Prilagoditev na model</t>
  </si>
  <si>
    <t>Nadgradnja na implantatu</t>
  </si>
  <si>
    <t>Dobropis na STL datoteko</t>
  </si>
  <si>
    <t>Popravek STL datoteke</t>
  </si>
  <si>
    <t>Dodatne storitve po casu (15 min)</t>
  </si>
  <si>
    <t>Atlantis abut. Ankylos Ti</t>
  </si>
  <si>
    <t>Atlantis abut. Ankylos Ti Gold</t>
  </si>
  <si>
    <t>Atlantis abut. Astra Os Tx Ti</t>
  </si>
  <si>
    <t>Atlantis abut. Strauman BL NC Ti</t>
  </si>
  <si>
    <t>Atlantis abut. NobelActive NP Zr</t>
  </si>
  <si>
    <t>Atlantis abut. NobelActive RP Zr</t>
  </si>
  <si>
    <t>atlantis Insertion Guide</t>
  </si>
  <si>
    <t xml:space="preserve">Talladium - vijak 30˙ </t>
  </si>
  <si>
    <t>Talladium - abutment</t>
  </si>
  <si>
    <t>Talladium - 3.0 Dynamic abutment izvijač</t>
  </si>
  <si>
    <t>Talladium - vmesnik</t>
  </si>
  <si>
    <t>IPD - labor analog</t>
  </si>
  <si>
    <t>IPD - vijak</t>
  </si>
  <si>
    <t>IPD - abutment</t>
  </si>
  <si>
    <t>IPD - pvc nadgradnja</t>
  </si>
  <si>
    <t>Bronemark - labor analog</t>
  </si>
  <si>
    <t>Bronemark - vijak</t>
  </si>
  <si>
    <t>Bronemark - abutment</t>
  </si>
  <si>
    <t>Bronemark - temp. abutment</t>
  </si>
  <si>
    <t>Bronemark - goldadapt</t>
  </si>
  <si>
    <t>RS - labor analog</t>
  </si>
  <si>
    <t>RS- vijak</t>
  </si>
  <si>
    <t>RS - abutment</t>
  </si>
  <si>
    <t>RS - temp. abutment</t>
  </si>
  <si>
    <t>Ankylos - labor analog</t>
  </si>
  <si>
    <t xml:space="preserve">Ankylos- vijak oclusal </t>
  </si>
  <si>
    <t>Ankylos - balance base abutment</t>
  </si>
  <si>
    <t>Ankylos - balance post. abutment</t>
  </si>
  <si>
    <t>Ankylos - temp. abutment</t>
  </si>
  <si>
    <t>Ankylos - pvc nadgradnja</t>
  </si>
  <si>
    <t>Straumann - labor analog</t>
  </si>
  <si>
    <t>Straumann - vijak oclusal</t>
  </si>
  <si>
    <t>Straumann - abutment</t>
  </si>
  <si>
    <t>Straumann - temp. abutment</t>
  </si>
  <si>
    <t>Straumann - multibase abutment</t>
  </si>
  <si>
    <t>Straumann - bite reg. aid</t>
  </si>
  <si>
    <t>P!H - labor analog</t>
  </si>
  <si>
    <t>P!H - abutment conical</t>
  </si>
  <si>
    <t>P!H - temp abutment</t>
  </si>
  <si>
    <t>Rhein - otcap Kroglični Abutment (kompl)</t>
  </si>
  <si>
    <t>Rhein- otcap matrica teflon</t>
  </si>
  <si>
    <t>Rhein- otcap matrica CoCr</t>
  </si>
  <si>
    <t>Rhein- otcap matrica Ti</t>
  </si>
  <si>
    <t>Rhein- otcap Anker-kroglični</t>
  </si>
  <si>
    <t>Rhein- otcap navojnica</t>
  </si>
  <si>
    <t xml:space="preserve">Bredent - Ti vijak </t>
  </si>
  <si>
    <t>Bredent - VKS-OC2 2,2 Ti</t>
  </si>
  <si>
    <t>Bredent - matrica kov.</t>
  </si>
  <si>
    <t>Bredent - vario soft sv3 sv</t>
  </si>
  <si>
    <t>Ceka - sidro revax</t>
  </si>
  <si>
    <t>Ceka - sidro extra coronal classic</t>
  </si>
  <si>
    <t>Acrylok</t>
  </si>
  <si>
    <t>Frikcijsko sidro</t>
  </si>
  <si>
    <t>pvc okludator</t>
  </si>
  <si>
    <t>garnitura zob - ant.</t>
  </si>
  <si>
    <t>garnitura zob - post</t>
  </si>
  <si>
    <t>Reline Primer</t>
  </si>
  <si>
    <t>1</t>
  </si>
  <si>
    <t>2</t>
  </si>
  <si>
    <t>26.7.</t>
  </si>
  <si>
    <t>novka</t>
  </si>
  <si>
    <t>kos</t>
  </si>
  <si>
    <t>priprava krna</t>
  </si>
  <si>
    <t>modelacija ogrodja</t>
  </si>
  <si>
    <t>ogrodje strosek</t>
  </si>
  <si>
    <t>obdelava ogrodja</t>
  </si>
  <si>
    <t>opaker</t>
  </si>
  <si>
    <t>fasetiranje</t>
  </si>
  <si>
    <t>obdelava polnega ogrodja</t>
  </si>
  <si>
    <t>ulivanje</t>
  </si>
  <si>
    <t>vlaganje kivete</t>
  </si>
  <si>
    <t>presanje</t>
  </si>
  <si>
    <t>izbira in naročanje kosov</t>
  </si>
  <si>
    <t>dodatek na fasetiranje</t>
  </si>
  <si>
    <t>vijačenje</t>
  </si>
  <si>
    <t>načrtovanje</t>
  </si>
  <si>
    <t>obdelava</t>
  </si>
  <si>
    <t>strošek ogrodja</t>
  </si>
  <si>
    <t>modelacija polne oblike</t>
  </si>
  <si>
    <t xml:space="preserve">obdelava </t>
  </si>
  <si>
    <t>površinsko toniranje</t>
  </si>
  <si>
    <t>izluščenje iz kivete</t>
  </si>
  <si>
    <t>glaziranje</t>
  </si>
  <si>
    <t>poliranje</t>
  </si>
  <si>
    <t>postavitev IKP</t>
  </si>
  <si>
    <t>postavitev TKP</t>
  </si>
  <si>
    <t>modelacija dlesni</t>
  </si>
  <si>
    <t>kivetiranje</t>
  </si>
  <si>
    <t>izpiranje</t>
  </si>
  <si>
    <t>izolacija</t>
  </si>
  <si>
    <t>nabruševanje zob</t>
  </si>
  <si>
    <t>radiranje</t>
  </si>
  <si>
    <t>tlačenje</t>
  </si>
  <si>
    <t>izkivetiranje</t>
  </si>
  <si>
    <t>mehka podložitev proteze</t>
  </si>
  <si>
    <t>lot</t>
  </si>
  <si>
    <t>V 17</t>
  </si>
  <si>
    <t>xx</t>
  </si>
  <si>
    <t>CAD reducirana modelacija</t>
  </si>
  <si>
    <t>CAD reducirana anatomska modelacija</t>
  </si>
  <si>
    <t>CAD anatomska modelacija</t>
  </si>
  <si>
    <t>CAD Implantat Teleskop Anker</t>
  </si>
  <si>
    <t>CAD modelacija wisil</t>
  </si>
  <si>
    <t>SLM - CoCr Bego</t>
  </si>
  <si>
    <t>SLM - CoCr</t>
  </si>
  <si>
    <t>SLM - Wisil CoCr</t>
  </si>
  <si>
    <t>SLM - Wisil Ti</t>
  </si>
  <si>
    <t>CAM - CoCR</t>
  </si>
  <si>
    <t>CAM - Ti</t>
  </si>
  <si>
    <t>CAM - Zr white</t>
  </si>
  <si>
    <t>CAM - Zr translucent multilayer</t>
  </si>
  <si>
    <t>CAM - WAX</t>
  </si>
  <si>
    <t>CAM - PMMA</t>
  </si>
  <si>
    <t>CAM - PMMA - Multilayer</t>
  </si>
  <si>
    <t>CAM - Hybrid Composit</t>
  </si>
  <si>
    <t>CAM - LiSi</t>
  </si>
  <si>
    <t>model -  tiskan</t>
  </si>
  <si>
    <t>Barvanje Zr</t>
  </si>
  <si>
    <t>Atlantis abut. Ankylos Zr</t>
  </si>
  <si>
    <t>Atlantis Crovn cut-back Zr</t>
  </si>
  <si>
    <t>GM neodent - labor analog</t>
  </si>
  <si>
    <t>GM neodent - abutment</t>
  </si>
  <si>
    <t>Empress rolling- small</t>
  </si>
  <si>
    <t>Empress rolling- big</t>
  </si>
  <si>
    <t>Empress rolling- multi</t>
  </si>
  <si>
    <t>Straumann - Ti coping</t>
  </si>
  <si>
    <t>Astra - labor analog</t>
  </si>
  <si>
    <t>Astra - odtisnik</t>
  </si>
  <si>
    <t>Ancorvis abutment</t>
  </si>
  <si>
    <t>Kerator 0°</t>
  </si>
  <si>
    <t>Kerator 15°</t>
  </si>
  <si>
    <t>Kerator - labor analog</t>
  </si>
  <si>
    <t>Kerator - teflonska matrica</t>
  </si>
  <si>
    <t>Kerator - kov. matrica</t>
  </si>
  <si>
    <t>Neodent GM - abutment</t>
  </si>
  <si>
    <t>Neodent GM - labor analog</t>
  </si>
  <si>
    <t>Implant direct - labor analog</t>
  </si>
  <si>
    <t>Implant direct - overdenture abutm</t>
  </si>
  <si>
    <t>Implant direct - overdenture gold plastic</t>
  </si>
  <si>
    <t>Implant direct - inter activ gold adapt</t>
  </si>
  <si>
    <t xml:space="preserve">Bredent - matrica </t>
  </si>
  <si>
    <t>Bredent - analog</t>
  </si>
  <si>
    <t>C&amp;M - vijak z vodilom</t>
  </si>
  <si>
    <t>C&amp;M - gred    (mm)</t>
  </si>
  <si>
    <t>Ackermann - jahač</t>
  </si>
  <si>
    <t>Acrylock</t>
  </si>
  <si>
    <t>Rhein- otcap Anker-strategy</t>
  </si>
  <si>
    <t>garnitura zob - ant. Geller</t>
  </si>
  <si>
    <t>garnitura zob - post Geller</t>
  </si>
  <si>
    <t>Ponovno fasetiranje</t>
  </si>
  <si>
    <t>Ponovna izdelava ogrodja</t>
  </si>
  <si>
    <t>Hitra izdelava</t>
  </si>
  <si>
    <t>Dodatek za tuja dela</t>
  </si>
  <si>
    <t>storitev</t>
  </si>
  <si>
    <t>cena</t>
  </si>
  <si>
    <t xml:space="preserve">tehnik </t>
  </si>
  <si>
    <t>rok</t>
  </si>
  <si>
    <t>tilen</t>
  </si>
  <si>
    <t xml:space="preserve">manca </t>
  </si>
  <si>
    <t>vasja</t>
  </si>
  <si>
    <t>ales</t>
  </si>
  <si>
    <t>test</t>
  </si>
  <si>
    <t>345</t>
  </si>
  <si>
    <t>17.3.2020</t>
  </si>
  <si>
    <t>racun</t>
  </si>
  <si>
    <r>
      <t xml:space="preserve">dezinfekcija in čiščenje </t>
    </r>
    <r>
      <rPr>
        <b/>
        <sz val="10"/>
        <color theme="0" tint="-0.34998626667073579"/>
        <rFont val="Arial"/>
        <family val="2"/>
        <charset val="238"/>
      </rPr>
      <t>odtisa</t>
    </r>
  </si>
  <si>
    <t>HC monolayer</t>
  </si>
  <si>
    <t>HC multilayer</t>
  </si>
  <si>
    <t>Izbira barve</t>
  </si>
  <si>
    <t>Svetovanje pogovor s pacientom</t>
  </si>
  <si>
    <t>kos teh</t>
  </si>
  <si>
    <t>vsota teh</t>
  </si>
  <si>
    <t>vsota rac</t>
  </si>
  <si>
    <t>v racun1</t>
  </si>
  <si>
    <t>v racun2</t>
  </si>
  <si>
    <t>v racun3</t>
  </si>
  <si>
    <t>v racun4</t>
  </si>
  <si>
    <t>v racun5</t>
  </si>
  <si>
    <t>v racun6</t>
  </si>
  <si>
    <t>test1</t>
  </si>
  <si>
    <t>123</t>
  </si>
  <si>
    <t>17.2</t>
  </si>
  <si>
    <t>21.3</t>
  </si>
  <si>
    <t>Termini</t>
  </si>
  <si>
    <t>Proba ogrodja</t>
  </si>
  <si>
    <t>Proba keramike</t>
  </si>
  <si>
    <t>Termin</t>
  </si>
  <si>
    <t>Ana Drevenšek Slokan dr.dent.med.</t>
  </si>
  <si>
    <t>Ana Mikuž, dr. dent. Med</t>
  </si>
  <si>
    <t>Andrej Lipušček, dr. dent. med</t>
  </si>
  <si>
    <t>Andrej Lipušček, dr. dent. Med</t>
  </si>
  <si>
    <t>Astrid Ražem, dr. dent. med</t>
  </si>
  <si>
    <t>Barbara Ražen , dr. dent. med</t>
  </si>
  <si>
    <t>Barbara Škrlj Golob, dr. dent. med</t>
  </si>
  <si>
    <t>Bojan Brezavšček, dr. dent. med</t>
  </si>
  <si>
    <t>Božko Kukar , dr. dent. Med</t>
  </si>
  <si>
    <t>Čedomir Oblak dr. dent. med</t>
  </si>
  <si>
    <t>Darja Lestan Arcon, dr. dent. med</t>
  </si>
  <si>
    <t>Dendo</t>
  </si>
  <si>
    <t>Diana Okretič, dr. dent.med.</t>
  </si>
  <si>
    <t>Ester Jankovič Zavrtanik, dr. dent. med</t>
  </si>
  <si>
    <t>Gino Tuljak , dr. dent. med</t>
  </si>
  <si>
    <t>Heon</t>
  </si>
  <si>
    <t>Ivan Čupič</t>
  </si>
  <si>
    <t>Iztok Kavčič, dr. dent. med</t>
  </si>
  <si>
    <t>Janja Oblak Zdolšek, dr. dent. med</t>
  </si>
  <si>
    <t xml:space="preserve">Jernej Gašperin </t>
  </si>
  <si>
    <t>Jože Pungeršek , dr. dent. med</t>
  </si>
  <si>
    <t>Jure Binter, dr. dent. med</t>
  </si>
  <si>
    <t>KA-DENT d.o.o.</t>
  </si>
  <si>
    <t>Karin Kozlovič, dr. dent. Med</t>
  </si>
  <si>
    <t>Katarina Hrovat dr.dent.med.</t>
  </si>
  <si>
    <t>Katarina Hrovat, dr. dent. med</t>
  </si>
  <si>
    <t>Katja Pušnar Štebe, dr. dent. med</t>
  </si>
  <si>
    <t>Ljubo Marion , dr. dent. med</t>
  </si>
  <si>
    <t>Maja Marolt</t>
  </si>
  <si>
    <t>Maja Podlipec Ankele</t>
  </si>
  <si>
    <t>Marija Neža Matevžič, dr. dent. med</t>
  </si>
  <si>
    <t>Marija Šekoranja , dr. dent. med</t>
  </si>
  <si>
    <t>Marina Radič , dr. dent. Med</t>
  </si>
  <si>
    <t>Maruša Marija Šetinc</t>
  </si>
  <si>
    <t>Mateja Cmrekar</t>
  </si>
  <si>
    <t>Matjaž Golobič, dr. dent. med</t>
  </si>
  <si>
    <t>Melita Zajc</t>
  </si>
  <si>
    <t>Mihael Matevžič</t>
  </si>
  <si>
    <t>Mihael Vrčkovnik, dr. dent. med</t>
  </si>
  <si>
    <t>Milan Kuhar , dr. dent. med</t>
  </si>
  <si>
    <t>Miloš Prokopovič, dr. dent. med</t>
  </si>
  <si>
    <t xml:space="preserve">MitjaKapš </t>
  </si>
  <si>
    <t>Mojca Dodič dr.dent.med.</t>
  </si>
  <si>
    <t>Mojca Drev dr. dent. med.</t>
  </si>
  <si>
    <t>Mozetič Karmen, dr. dent. med</t>
  </si>
  <si>
    <t>Nenad Funduk, dr. dent. med</t>
  </si>
  <si>
    <t>Petja Dovšak, dr. dent. med</t>
  </si>
  <si>
    <t>prof. Dr. Vida Žigman</t>
  </si>
  <si>
    <t>Rado Muženič</t>
  </si>
  <si>
    <t>Rok Jurič, dr. dent. med</t>
  </si>
  <si>
    <t>Rok Šušteršič, dr. dent. med</t>
  </si>
  <si>
    <t>Samo Stamboldžioski, dr. dent. med</t>
  </si>
  <si>
    <t>Sašo Fažon</t>
  </si>
  <si>
    <t>Sebastian Korošec, dr. dent. med</t>
  </si>
  <si>
    <t>Serianz Dentalni center d.o.o.</t>
  </si>
  <si>
    <t>Slavec Tomaž, dr. dent. med</t>
  </si>
  <si>
    <t>Sofija Maksimović, dr. dent. med</t>
  </si>
  <si>
    <t>Šekoranja, dr. dent. med</t>
  </si>
  <si>
    <t>Tadej Škoflek</t>
  </si>
  <si>
    <t>Tanja Krevs</t>
  </si>
  <si>
    <t>Tanja Nedeljkovič , dr. dent. med</t>
  </si>
  <si>
    <t>Tatjana Sojer</t>
  </si>
  <si>
    <t>Thaler Urška</t>
  </si>
  <si>
    <t>UKC</t>
  </si>
  <si>
    <t>Una Merlak Ronko, dr. dent. med</t>
  </si>
  <si>
    <t>Uroš Ferjančič, dr. dent. med</t>
  </si>
  <si>
    <t>Uroš Mezeg, dr. dent. med</t>
  </si>
  <si>
    <t>Vid Gjurin, dr. dent. med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</si>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</sst>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;@"/>
    <numFmt numFmtId="165" formatCode="#,##0.00\ &quot;€&quot;"/>
  </numFmts>
  <fonts count="24" x14ac:knownFonts="1">
    <font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9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4" tint="-0.249977111117893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9" tint="-0.249977111117893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b/>
      <sz val="10"/>
      <color theme="0" tint="-0.34998626667073579"/>
      <name val="Arial"/>
      <family val="2"/>
      <charset val="238"/>
    </font>
    <font>
      <sz val="11"/>
      <color theme="0" tint="-0.34998626667073579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b/>
      <sz val="10"/>
      <color rgb="FFFF0000"/>
      <name val="Arial"/>
      <family val="2"/>
      <charset val="238"/>
    </font>
    <font>
      <b/>
      <sz val="12"/>
      <color rgb="FFFF000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0" fillId="0" borderId="0" xfId="0" applyNumberFormat="1"/>
    <xf numFmtId="0" fontId="5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5" fillId="2" borderId="2" xfId="0" applyFont="1" applyFill="1" applyBorder="1" applyAlignment="1"/>
    <xf numFmtId="1" fontId="6" fillId="0" borderId="0" xfId="0" applyNumberFormat="1" applyFont="1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Fill="1"/>
    <xf numFmtId="0" fontId="0" fillId="0" borderId="0" xfId="0" applyFill="1" applyBorder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/>
    <xf numFmtId="0" fontId="0" fillId="4" borderId="0" xfId="0" applyFill="1"/>
    <xf numFmtId="0" fontId="0" fillId="4" borderId="0" xfId="0" applyFill="1" applyAlignment="1"/>
    <xf numFmtId="0" fontId="7" fillId="0" borderId="0" xfId="0" applyFont="1" applyBorder="1" applyAlignment="1"/>
    <xf numFmtId="0" fontId="8" fillId="0" borderId="0" xfId="0" applyFont="1" applyAlignment="1"/>
    <xf numFmtId="0" fontId="8" fillId="0" borderId="0" xfId="0" applyFont="1"/>
    <xf numFmtId="0" fontId="5" fillId="2" borderId="0" xfId="0" applyFont="1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164" fontId="0" fillId="0" borderId="0" xfId="0" applyNumberFormat="1" applyAlignment="1">
      <alignment horizontal="center"/>
    </xf>
    <xf numFmtId="0" fontId="11" fillId="2" borderId="6" xfId="0" applyFont="1" applyFill="1" applyBorder="1" applyAlignment="1">
      <alignment horizontal="center"/>
    </xf>
    <xf numFmtId="164" fontId="11" fillId="2" borderId="6" xfId="0" applyNumberFormat="1" applyFont="1" applyFill="1" applyBorder="1" applyAlignment="1">
      <alignment horizontal="center"/>
    </xf>
    <xf numFmtId="0" fontId="11" fillId="2" borderId="6" xfId="0" applyFont="1" applyFill="1" applyBorder="1" applyAlignment="1">
      <alignment horizontal="left"/>
    </xf>
    <xf numFmtId="0" fontId="11" fillId="2" borderId="5" xfId="0" applyFont="1" applyFill="1" applyBorder="1" applyAlignment="1">
      <alignment horizontal="center"/>
    </xf>
    <xf numFmtId="49" fontId="11" fillId="2" borderId="5" xfId="0" applyNumberFormat="1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Fill="1" applyAlignment="1">
      <alignment horizontal="center"/>
    </xf>
    <xf numFmtId="4" fontId="1" fillId="0" borderId="1" xfId="0" applyNumberFormat="1" applyFont="1" applyBorder="1" applyAlignment="1">
      <alignment horizontal="left" shrinkToFit="1"/>
    </xf>
    <xf numFmtId="165" fontId="0" fillId="0" borderId="1" xfId="0" applyNumberFormat="1" applyBorder="1"/>
    <xf numFmtId="4" fontId="13" fillId="0" borderId="1" xfId="0" applyNumberFormat="1" applyFont="1" applyBorder="1" applyAlignment="1">
      <alignment horizontal="left" shrinkToFit="1"/>
    </xf>
    <xf numFmtId="0" fontId="9" fillId="0" borderId="1" xfId="0" applyFont="1" applyBorder="1"/>
    <xf numFmtId="0" fontId="0" fillId="0" borderId="1" xfId="0" applyBorder="1"/>
    <xf numFmtId="4" fontId="14" fillId="0" borderId="1" xfId="0" applyNumberFormat="1" applyFont="1" applyBorder="1" applyAlignment="1">
      <alignment horizontal="left" shrinkToFit="1"/>
    </xf>
    <xf numFmtId="165" fontId="0" fillId="0" borderId="0" xfId="0" applyNumberFormat="1"/>
    <xf numFmtId="0" fontId="2" fillId="0" borderId="1" xfId="0" applyFont="1" applyBorder="1" applyAlignment="1">
      <alignment horizontal="left"/>
    </xf>
    <xf numFmtId="165" fontId="2" fillId="0" borderId="1" xfId="0" applyNumberFormat="1" applyFont="1" applyBorder="1" applyAlignment="1">
      <alignment horizontal="left"/>
    </xf>
    <xf numFmtId="4" fontId="3" fillId="0" borderId="1" xfId="0" applyNumberFormat="1" applyFont="1" applyBorder="1" applyAlignment="1">
      <alignment horizontal="left" shrinkToFit="1"/>
    </xf>
    <xf numFmtId="0" fontId="6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4" xfId="0" applyFill="1" applyBorder="1"/>
    <xf numFmtId="0" fontId="0" fillId="0" borderId="4" xfId="0" applyBorder="1"/>
    <xf numFmtId="0" fontId="0" fillId="0" borderId="7" xfId="0" applyBorder="1"/>
    <xf numFmtId="0" fontId="0" fillId="0" borderId="7" xfId="0" applyFill="1" applyBorder="1"/>
    <xf numFmtId="0" fontId="5" fillId="0" borderId="4" xfId="0" applyFont="1" applyBorder="1"/>
    <xf numFmtId="165" fontId="5" fillId="0" borderId="4" xfId="0" applyNumberFormat="1" applyFont="1" applyBorder="1"/>
    <xf numFmtId="165" fontId="9" fillId="0" borderId="1" xfId="0" applyNumberFormat="1" applyFont="1" applyBorder="1"/>
    <xf numFmtId="165" fontId="15" fillId="0" borderId="1" xfId="0" applyNumberFormat="1" applyFont="1" applyBorder="1"/>
    <xf numFmtId="4" fontId="14" fillId="0" borderId="1" xfId="0" applyNumberFormat="1" applyFont="1" applyFill="1" applyBorder="1" applyAlignment="1">
      <alignment horizontal="left" shrinkToFit="1"/>
    </xf>
    <xf numFmtId="165" fontId="15" fillId="0" borderId="1" xfId="0" applyNumberFormat="1" applyFont="1" applyFill="1" applyBorder="1"/>
    <xf numFmtId="4" fontId="18" fillId="0" borderId="1" xfId="0" applyNumberFormat="1" applyFont="1" applyBorder="1" applyAlignment="1">
      <alignment horizontal="left" shrinkToFit="1"/>
    </xf>
    <xf numFmtId="9" fontId="0" fillId="0" borderId="1" xfId="1" applyFont="1" applyBorder="1"/>
    <xf numFmtId="9" fontId="9" fillId="0" borderId="1" xfId="1" applyFont="1" applyBorder="1"/>
    <xf numFmtId="165" fontId="9" fillId="0" borderId="0" xfId="0" applyNumberFormat="1" applyFont="1"/>
    <xf numFmtId="165" fontId="15" fillId="0" borderId="0" xfId="0" applyNumberFormat="1" applyFont="1"/>
    <xf numFmtId="165" fontId="9" fillId="0" borderId="0" xfId="0" applyNumberFormat="1" applyFont="1" applyFill="1"/>
    <xf numFmtId="0" fontId="19" fillId="4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16" fillId="0" borderId="0" xfId="0" applyFont="1" applyAlignment="1"/>
    <xf numFmtId="14" fontId="16" fillId="0" borderId="0" xfId="0" applyNumberFormat="1" applyFont="1" applyAlignment="1"/>
    <xf numFmtId="0" fontId="5" fillId="0" borderId="0" xfId="0" applyFont="1" applyFill="1" applyBorder="1" applyAlignment="1"/>
    <xf numFmtId="0" fontId="9" fillId="0" borderId="1" xfId="0" applyFont="1" applyBorder="1" applyAlignment="1">
      <alignment horizontal="center" vertical="center"/>
    </xf>
    <xf numFmtId="14" fontId="9" fillId="0" borderId="1" xfId="0" applyNumberFormat="1" applyFont="1" applyBorder="1"/>
    <xf numFmtId="0" fontId="12" fillId="0" borderId="1" xfId="0" applyFont="1" applyBorder="1"/>
    <xf numFmtId="0" fontId="20" fillId="4" borderId="1" xfId="0" applyFont="1" applyFill="1" applyBorder="1" applyAlignment="1">
      <alignment horizontal="center" vertical="center"/>
    </xf>
    <xf numFmtId="0" fontId="12" fillId="0" borderId="1" xfId="0" applyNumberFormat="1" applyFont="1" applyBorder="1"/>
    <xf numFmtId="0" fontId="12" fillId="0" borderId="0" xfId="0" applyNumberFormat="1" applyFont="1"/>
    <xf numFmtId="0" fontId="12" fillId="0" borderId="1" xfId="0" applyNumberFormat="1" applyFont="1" applyFill="1" applyBorder="1"/>
    <xf numFmtId="0" fontId="12" fillId="0" borderId="1" xfId="1" applyNumberFormat="1" applyFont="1" applyBorder="1"/>
    <xf numFmtId="14" fontId="0" fillId="0" borderId="0" xfId="0" applyNumberFormat="1"/>
    <xf numFmtId="0" fontId="0" fillId="0" borderId="0" xfId="0" applyFill="1" applyAlignment="1"/>
    <xf numFmtId="0" fontId="0" fillId="4" borderId="0" xfId="0" applyFill="1" applyAlignment="1">
      <alignment horizontal="center"/>
    </xf>
    <xf numFmtId="0" fontId="0" fillId="5" borderId="0" xfId="0" applyFill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Alignment="1">
      <alignment horizontal="left"/>
    </xf>
    <xf numFmtId="0" fontId="9" fillId="0" borderId="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4" fontId="5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2" fillId="0" borderId="8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2" fillId="2" borderId="4" xfId="0" applyFont="1" applyFill="1" applyBorder="1" applyAlignment="1">
      <alignment horizontal="center"/>
    </xf>
    <xf numFmtId="0" fontId="23" fillId="0" borderId="0" xfId="2"/>
  </cellXfs>
  <cellStyles count="3">
    <cellStyle name="Hiperpovezava" xfId="2" builtinId="8"/>
    <cellStyle name="Navadno" xfId="0" builtinId="0"/>
    <cellStyle name="Odstotek" xfId="1" builtinId="5"/>
  </cellStyles>
  <dxfs count="6">
    <dxf>
      <numFmt numFmtId="30" formatCode="@"/>
    </dxf>
    <dxf>
      <numFmt numFmtId="164" formatCode="d/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0.png"/><Relationship Id="rId2" Type="http://schemas.microsoft.com/office/2011/relationships/webextension" Target="../webextensions/webextension1.xml"/><Relationship Id="rId1" Type="http://schemas.openxmlformats.org/officeDocument/2006/relationships/image" Target="../media/image219.png"/></Relationships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02.emf"/><Relationship Id="rId21" Type="http://schemas.openxmlformats.org/officeDocument/2006/relationships/image" Target="../media/image198.emf"/><Relationship Id="rId42" Type="http://schemas.openxmlformats.org/officeDocument/2006/relationships/image" Target="../media/image177.emf"/><Relationship Id="rId63" Type="http://schemas.openxmlformats.org/officeDocument/2006/relationships/image" Target="../media/image156.emf"/><Relationship Id="rId84" Type="http://schemas.openxmlformats.org/officeDocument/2006/relationships/image" Target="../media/image135.emf"/><Relationship Id="rId138" Type="http://schemas.openxmlformats.org/officeDocument/2006/relationships/image" Target="../media/image81.emf"/><Relationship Id="rId159" Type="http://schemas.openxmlformats.org/officeDocument/2006/relationships/image" Target="../media/image60.emf"/><Relationship Id="rId170" Type="http://schemas.openxmlformats.org/officeDocument/2006/relationships/image" Target="../media/image49.emf"/><Relationship Id="rId191" Type="http://schemas.openxmlformats.org/officeDocument/2006/relationships/image" Target="../media/image28.emf"/><Relationship Id="rId205" Type="http://schemas.openxmlformats.org/officeDocument/2006/relationships/image" Target="../media/image14.emf"/><Relationship Id="rId107" Type="http://schemas.openxmlformats.org/officeDocument/2006/relationships/image" Target="../media/image112.emf"/><Relationship Id="rId11" Type="http://schemas.openxmlformats.org/officeDocument/2006/relationships/image" Target="../media/image208.emf"/><Relationship Id="rId32" Type="http://schemas.openxmlformats.org/officeDocument/2006/relationships/image" Target="../media/image187.emf"/><Relationship Id="rId53" Type="http://schemas.openxmlformats.org/officeDocument/2006/relationships/image" Target="../media/image166.emf"/><Relationship Id="rId74" Type="http://schemas.openxmlformats.org/officeDocument/2006/relationships/image" Target="../media/image145.emf"/><Relationship Id="rId128" Type="http://schemas.openxmlformats.org/officeDocument/2006/relationships/image" Target="../media/image91.emf"/><Relationship Id="rId149" Type="http://schemas.openxmlformats.org/officeDocument/2006/relationships/image" Target="../media/image70.emf"/><Relationship Id="rId5" Type="http://schemas.openxmlformats.org/officeDocument/2006/relationships/image" Target="../media/image214.emf"/><Relationship Id="rId95" Type="http://schemas.openxmlformats.org/officeDocument/2006/relationships/image" Target="../media/image124.emf"/><Relationship Id="rId160" Type="http://schemas.openxmlformats.org/officeDocument/2006/relationships/image" Target="../media/image59.emf"/><Relationship Id="rId181" Type="http://schemas.openxmlformats.org/officeDocument/2006/relationships/image" Target="../media/image38.emf"/><Relationship Id="rId216" Type="http://schemas.openxmlformats.org/officeDocument/2006/relationships/image" Target="../media/image3.emf"/><Relationship Id="rId22" Type="http://schemas.openxmlformats.org/officeDocument/2006/relationships/image" Target="../media/image197.emf"/><Relationship Id="rId43" Type="http://schemas.openxmlformats.org/officeDocument/2006/relationships/image" Target="../media/image176.emf"/><Relationship Id="rId64" Type="http://schemas.openxmlformats.org/officeDocument/2006/relationships/image" Target="../media/image155.emf"/><Relationship Id="rId118" Type="http://schemas.openxmlformats.org/officeDocument/2006/relationships/image" Target="../media/image101.emf"/><Relationship Id="rId139" Type="http://schemas.openxmlformats.org/officeDocument/2006/relationships/image" Target="../media/image80.emf"/><Relationship Id="rId85" Type="http://schemas.openxmlformats.org/officeDocument/2006/relationships/image" Target="../media/image134.emf"/><Relationship Id="rId150" Type="http://schemas.openxmlformats.org/officeDocument/2006/relationships/image" Target="../media/image69.emf"/><Relationship Id="rId171" Type="http://schemas.openxmlformats.org/officeDocument/2006/relationships/image" Target="../media/image48.emf"/><Relationship Id="rId192" Type="http://schemas.openxmlformats.org/officeDocument/2006/relationships/image" Target="../media/image27.emf"/><Relationship Id="rId206" Type="http://schemas.openxmlformats.org/officeDocument/2006/relationships/image" Target="../media/image13.emf"/><Relationship Id="rId12" Type="http://schemas.openxmlformats.org/officeDocument/2006/relationships/image" Target="../media/image207.emf"/><Relationship Id="rId33" Type="http://schemas.openxmlformats.org/officeDocument/2006/relationships/image" Target="../media/image186.emf"/><Relationship Id="rId108" Type="http://schemas.openxmlformats.org/officeDocument/2006/relationships/image" Target="../media/image111.emf"/><Relationship Id="rId129" Type="http://schemas.openxmlformats.org/officeDocument/2006/relationships/image" Target="../media/image90.emf"/><Relationship Id="rId54" Type="http://schemas.openxmlformats.org/officeDocument/2006/relationships/image" Target="../media/image165.emf"/><Relationship Id="rId75" Type="http://schemas.openxmlformats.org/officeDocument/2006/relationships/image" Target="../media/image144.emf"/><Relationship Id="rId96" Type="http://schemas.openxmlformats.org/officeDocument/2006/relationships/image" Target="../media/image123.emf"/><Relationship Id="rId140" Type="http://schemas.openxmlformats.org/officeDocument/2006/relationships/image" Target="../media/image79.emf"/><Relationship Id="rId161" Type="http://schemas.openxmlformats.org/officeDocument/2006/relationships/image" Target="../media/image58.emf"/><Relationship Id="rId182" Type="http://schemas.openxmlformats.org/officeDocument/2006/relationships/image" Target="../media/image37.emf"/><Relationship Id="rId217" Type="http://schemas.openxmlformats.org/officeDocument/2006/relationships/image" Target="../media/image2.emf"/><Relationship Id="rId6" Type="http://schemas.openxmlformats.org/officeDocument/2006/relationships/image" Target="../media/image213.emf"/><Relationship Id="rId23" Type="http://schemas.openxmlformats.org/officeDocument/2006/relationships/image" Target="../media/image196.emf"/><Relationship Id="rId119" Type="http://schemas.openxmlformats.org/officeDocument/2006/relationships/image" Target="../media/image100.emf"/><Relationship Id="rId44" Type="http://schemas.openxmlformats.org/officeDocument/2006/relationships/image" Target="../media/image175.emf"/><Relationship Id="rId65" Type="http://schemas.openxmlformats.org/officeDocument/2006/relationships/image" Target="../media/image154.emf"/><Relationship Id="rId86" Type="http://schemas.openxmlformats.org/officeDocument/2006/relationships/image" Target="../media/image133.emf"/><Relationship Id="rId130" Type="http://schemas.openxmlformats.org/officeDocument/2006/relationships/image" Target="../media/image89.emf"/><Relationship Id="rId151" Type="http://schemas.openxmlformats.org/officeDocument/2006/relationships/image" Target="../media/image68.emf"/><Relationship Id="rId172" Type="http://schemas.openxmlformats.org/officeDocument/2006/relationships/image" Target="../media/image47.emf"/><Relationship Id="rId193" Type="http://schemas.openxmlformats.org/officeDocument/2006/relationships/image" Target="../media/image26.emf"/><Relationship Id="rId207" Type="http://schemas.openxmlformats.org/officeDocument/2006/relationships/image" Target="../media/image12.emf"/><Relationship Id="rId13" Type="http://schemas.openxmlformats.org/officeDocument/2006/relationships/image" Target="../media/image206.emf"/><Relationship Id="rId109" Type="http://schemas.openxmlformats.org/officeDocument/2006/relationships/image" Target="../media/image110.emf"/><Relationship Id="rId34" Type="http://schemas.openxmlformats.org/officeDocument/2006/relationships/image" Target="../media/image185.emf"/><Relationship Id="rId55" Type="http://schemas.openxmlformats.org/officeDocument/2006/relationships/image" Target="../media/image164.emf"/><Relationship Id="rId76" Type="http://schemas.openxmlformats.org/officeDocument/2006/relationships/image" Target="../media/image143.emf"/><Relationship Id="rId97" Type="http://schemas.openxmlformats.org/officeDocument/2006/relationships/image" Target="../media/image122.emf"/><Relationship Id="rId120" Type="http://schemas.openxmlformats.org/officeDocument/2006/relationships/image" Target="../media/image99.emf"/><Relationship Id="rId141" Type="http://schemas.openxmlformats.org/officeDocument/2006/relationships/image" Target="../media/image78.emf"/><Relationship Id="rId7" Type="http://schemas.openxmlformats.org/officeDocument/2006/relationships/image" Target="../media/image212.emf"/><Relationship Id="rId162" Type="http://schemas.openxmlformats.org/officeDocument/2006/relationships/image" Target="../media/image57.emf"/><Relationship Id="rId183" Type="http://schemas.openxmlformats.org/officeDocument/2006/relationships/image" Target="../media/image36.emf"/><Relationship Id="rId218" Type="http://schemas.openxmlformats.org/officeDocument/2006/relationships/image" Target="../media/image1.emf"/><Relationship Id="rId24" Type="http://schemas.openxmlformats.org/officeDocument/2006/relationships/image" Target="../media/image195.emf"/><Relationship Id="rId45" Type="http://schemas.openxmlformats.org/officeDocument/2006/relationships/image" Target="../media/image174.emf"/><Relationship Id="rId66" Type="http://schemas.openxmlformats.org/officeDocument/2006/relationships/image" Target="../media/image153.emf"/><Relationship Id="rId87" Type="http://schemas.openxmlformats.org/officeDocument/2006/relationships/image" Target="../media/image132.emf"/><Relationship Id="rId110" Type="http://schemas.openxmlformats.org/officeDocument/2006/relationships/image" Target="../media/image109.emf"/><Relationship Id="rId131" Type="http://schemas.openxmlformats.org/officeDocument/2006/relationships/image" Target="../media/image88.emf"/><Relationship Id="rId152" Type="http://schemas.openxmlformats.org/officeDocument/2006/relationships/image" Target="../media/image67.emf"/><Relationship Id="rId173" Type="http://schemas.openxmlformats.org/officeDocument/2006/relationships/image" Target="../media/image46.emf"/><Relationship Id="rId194" Type="http://schemas.openxmlformats.org/officeDocument/2006/relationships/image" Target="../media/image25.emf"/><Relationship Id="rId208" Type="http://schemas.openxmlformats.org/officeDocument/2006/relationships/image" Target="../media/image11.emf"/><Relationship Id="rId14" Type="http://schemas.openxmlformats.org/officeDocument/2006/relationships/image" Target="../media/image205.emf"/><Relationship Id="rId30" Type="http://schemas.openxmlformats.org/officeDocument/2006/relationships/image" Target="../media/image189.emf"/><Relationship Id="rId35" Type="http://schemas.openxmlformats.org/officeDocument/2006/relationships/image" Target="../media/image184.emf"/><Relationship Id="rId56" Type="http://schemas.openxmlformats.org/officeDocument/2006/relationships/image" Target="../media/image163.emf"/><Relationship Id="rId77" Type="http://schemas.openxmlformats.org/officeDocument/2006/relationships/image" Target="../media/image142.emf"/><Relationship Id="rId100" Type="http://schemas.openxmlformats.org/officeDocument/2006/relationships/image" Target="../media/image119.emf"/><Relationship Id="rId105" Type="http://schemas.openxmlformats.org/officeDocument/2006/relationships/image" Target="../media/image114.emf"/><Relationship Id="rId126" Type="http://schemas.openxmlformats.org/officeDocument/2006/relationships/image" Target="../media/image93.emf"/><Relationship Id="rId147" Type="http://schemas.openxmlformats.org/officeDocument/2006/relationships/image" Target="../media/image72.emf"/><Relationship Id="rId168" Type="http://schemas.openxmlformats.org/officeDocument/2006/relationships/image" Target="../media/image51.emf"/><Relationship Id="rId8" Type="http://schemas.openxmlformats.org/officeDocument/2006/relationships/image" Target="../media/image211.emf"/><Relationship Id="rId51" Type="http://schemas.openxmlformats.org/officeDocument/2006/relationships/image" Target="../media/image168.emf"/><Relationship Id="rId72" Type="http://schemas.openxmlformats.org/officeDocument/2006/relationships/image" Target="../media/image147.emf"/><Relationship Id="rId93" Type="http://schemas.openxmlformats.org/officeDocument/2006/relationships/image" Target="../media/image126.emf"/><Relationship Id="rId98" Type="http://schemas.openxmlformats.org/officeDocument/2006/relationships/image" Target="../media/image121.emf"/><Relationship Id="rId121" Type="http://schemas.openxmlformats.org/officeDocument/2006/relationships/image" Target="../media/image98.emf"/><Relationship Id="rId142" Type="http://schemas.openxmlformats.org/officeDocument/2006/relationships/image" Target="../media/image77.emf"/><Relationship Id="rId163" Type="http://schemas.openxmlformats.org/officeDocument/2006/relationships/image" Target="../media/image56.emf"/><Relationship Id="rId184" Type="http://schemas.openxmlformats.org/officeDocument/2006/relationships/image" Target="../media/image35.emf"/><Relationship Id="rId189" Type="http://schemas.openxmlformats.org/officeDocument/2006/relationships/image" Target="../media/image30.emf"/><Relationship Id="rId3" Type="http://schemas.openxmlformats.org/officeDocument/2006/relationships/image" Target="../media/image216.emf"/><Relationship Id="rId214" Type="http://schemas.openxmlformats.org/officeDocument/2006/relationships/image" Target="../media/image5.emf"/><Relationship Id="rId25" Type="http://schemas.openxmlformats.org/officeDocument/2006/relationships/image" Target="../media/image194.emf"/><Relationship Id="rId46" Type="http://schemas.openxmlformats.org/officeDocument/2006/relationships/image" Target="../media/image173.emf"/><Relationship Id="rId67" Type="http://schemas.openxmlformats.org/officeDocument/2006/relationships/image" Target="../media/image152.emf"/><Relationship Id="rId116" Type="http://schemas.openxmlformats.org/officeDocument/2006/relationships/image" Target="../media/image103.emf"/><Relationship Id="rId137" Type="http://schemas.openxmlformats.org/officeDocument/2006/relationships/image" Target="../media/image82.emf"/><Relationship Id="rId158" Type="http://schemas.openxmlformats.org/officeDocument/2006/relationships/image" Target="../media/image61.emf"/><Relationship Id="rId20" Type="http://schemas.openxmlformats.org/officeDocument/2006/relationships/image" Target="../media/image199.emf"/><Relationship Id="rId41" Type="http://schemas.openxmlformats.org/officeDocument/2006/relationships/image" Target="../media/image178.emf"/><Relationship Id="rId62" Type="http://schemas.openxmlformats.org/officeDocument/2006/relationships/image" Target="../media/image157.emf"/><Relationship Id="rId83" Type="http://schemas.openxmlformats.org/officeDocument/2006/relationships/image" Target="../media/image136.emf"/><Relationship Id="rId88" Type="http://schemas.openxmlformats.org/officeDocument/2006/relationships/image" Target="../media/image131.emf"/><Relationship Id="rId111" Type="http://schemas.openxmlformats.org/officeDocument/2006/relationships/image" Target="../media/image108.emf"/><Relationship Id="rId132" Type="http://schemas.openxmlformats.org/officeDocument/2006/relationships/image" Target="../media/image87.emf"/><Relationship Id="rId153" Type="http://schemas.openxmlformats.org/officeDocument/2006/relationships/image" Target="../media/image66.emf"/><Relationship Id="rId174" Type="http://schemas.openxmlformats.org/officeDocument/2006/relationships/image" Target="../media/image45.emf"/><Relationship Id="rId179" Type="http://schemas.openxmlformats.org/officeDocument/2006/relationships/image" Target="../media/image40.emf"/><Relationship Id="rId195" Type="http://schemas.openxmlformats.org/officeDocument/2006/relationships/image" Target="../media/image24.emf"/><Relationship Id="rId209" Type="http://schemas.openxmlformats.org/officeDocument/2006/relationships/image" Target="../media/image10.emf"/><Relationship Id="rId190" Type="http://schemas.openxmlformats.org/officeDocument/2006/relationships/image" Target="../media/image29.emf"/><Relationship Id="rId204" Type="http://schemas.openxmlformats.org/officeDocument/2006/relationships/image" Target="../media/image15.emf"/><Relationship Id="rId15" Type="http://schemas.openxmlformats.org/officeDocument/2006/relationships/image" Target="../media/image204.emf"/><Relationship Id="rId36" Type="http://schemas.openxmlformats.org/officeDocument/2006/relationships/image" Target="../media/image183.emf"/><Relationship Id="rId57" Type="http://schemas.openxmlformats.org/officeDocument/2006/relationships/image" Target="../media/image162.emf"/><Relationship Id="rId106" Type="http://schemas.openxmlformats.org/officeDocument/2006/relationships/image" Target="../media/image113.emf"/><Relationship Id="rId127" Type="http://schemas.openxmlformats.org/officeDocument/2006/relationships/image" Target="../media/image92.emf"/><Relationship Id="rId10" Type="http://schemas.openxmlformats.org/officeDocument/2006/relationships/image" Target="../media/image209.emf"/><Relationship Id="rId31" Type="http://schemas.openxmlformats.org/officeDocument/2006/relationships/image" Target="../media/image188.emf"/><Relationship Id="rId52" Type="http://schemas.openxmlformats.org/officeDocument/2006/relationships/image" Target="../media/image167.emf"/><Relationship Id="rId73" Type="http://schemas.openxmlformats.org/officeDocument/2006/relationships/image" Target="../media/image146.emf"/><Relationship Id="rId78" Type="http://schemas.openxmlformats.org/officeDocument/2006/relationships/image" Target="../media/image141.emf"/><Relationship Id="rId94" Type="http://schemas.openxmlformats.org/officeDocument/2006/relationships/image" Target="../media/image125.emf"/><Relationship Id="rId99" Type="http://schemas.openxmlformats.org/officeDocument/2006/relationships/image" Target="../media/image120.emf"/><Relationship Id="rId101" Type="http://schemas.openxmlformats.org/officeDocument/2006/relationships/image" Target="../media/image118.emf"/><Relationship Id="rId122" Type="http://schemas.openxmlformats.org/officeDocument/2006/relationships/image" Target="../media/image97.emf"/><Relationship Id="rId143" Type="http://schemas.openxmlformats.org/officeDocument/2006/relationships/image" Target="../media/image76.emf"/><Relationship Id="rId148" Type="http://schemas.openxmlformats.org/officeDocument/2006/relationships/image" Target="../media/image71.emf"/><Relationship Id="rId164" Type="http://schemas.openxmlformats.org/officeDocument/2006/relationships/image" Target="../media/image55.emf"/><Relationship Id="rId169" Type="http://schemas.openxmlformats.org/officeDocument/2006/relationships/image" Target="../media/image50.emf"/><Relationship Id="rId185" Type="http://schemas.openxmlformats.org/officeDocument/2006/relationships/image" Target="../media/image34.emf"/><Relationship Id="rId4" Type="http://schemas.openxmlformats.org/officeDocument/2006/relationships/image" Target="../media/image215.emf"/><Relationship Id="rId9" Type="http://schemas.openxmlformats.org/officeDocument/2006/relationships/image" Target="../media/image210.emf"/><Relationship Id="rId180" Type="http://schemas.openxmlformats.org/officeDocument/2006/relationships/image" Target="../media/image39.emf"/><Relationship Id="rId210" Type="http://schemas.openxmlformats.org/officeDocument/2006/relationships/image" Target="../media/image9.emf"/><Relationship Id="rId215" Type="http://schemas.openxmlformats.org/officeDocument/2006/relationships/image" Target="../media/image4.emf"/><Relationship Id="rId26" Type="http://schemas.openxmlformats.org/officeDocument/2006/relationships/image" Target="../media/image193.emf"/><Relationship Id="rId47" Type="http://schemas.openxmlformats.org/officeDocument/2006/relationships/image" Target="../media/image172.emf"/><Relationship Id="rId68" Type="http://schemas.openxmlformats.org/officeDocument/2006/relationships/image" Target="../media/image151.emf"/><Relationship Id="rId89" Type="http://schemas.openxmlformats.org/officeDocument/2006/relationships/image" Target="../media/image130.emf"/><Relationship Id="rId112" Type="http://schemas.openxmlformats.org/officeDocument/2006/relationships/image" Target="../media/image107.emf"/><Relationship Id="rId133" Type="http://schemas.openxmlformats.org/officeDocument/2006/relationships/image" Target="../media/image86.emf"/><Relationship Id="rId154" Type="http://schemas.openxmlformats.org/officeDocument/2006/relationships/image" Target="../media/image65.emf"/><Relationship Id="rId175" Type="http://schemas.openxmlformats.org/officeDocument/2006/relationships/image" Target="../media/image44.emf"/><Relationship Id="rId196" Type="http://schemas.openxmlformats.org/officeDocument/2006/relationships/image" Target="../media/image23.emf"/><Relationship Id="rId200" Type="http://schemas.openxmlformats.org/officeDocument/2006/relationships/image" Target="../media/image19.emf"/><Relationship Id="rId16" Type="http://schemas.openxmlformats.org/officeDocument/2006/relationships/image" Target="../media/image203.emf"/><Relationship Id="rId37" Type="http://schemas.openxmlformats.org/officeDocument/2006/relationships/image" Target="../media/image182.emf"/><Relationship Id="rId58" Type="http://schemas.openxmlformats.org/officeDocument/2006/relationships/image" Target="../media/image161.emf"/><Relationship Id="rId79" Type="http://schemas.openxmlformats.org/officeDocument/2006/relationships/image" Target="../media/image140.emf"/><Relationship Id="rId102" Type="http://schemas.openxmlformats.org/officeDocument/2006/relationships/image" Target="../media/image117.emf"/><Relationship Id="rId123" Type="http://schemas.openxmlformats.org/officeDocument/2006/relationships/image" Target="../media/image96.emf"/><Relationship Id="rId144" Type="http://schemas.openxmlformats.org/officeDocument/2006/relationships/image" Target="../media/image75.emf"/><Relationship Id="rId90" Type="http://schemas.openxmlformats.org/officeDocument/2006/relationships/image" Target="../media/image129.emf"/><Relationship Id="rId165" Type="http://schemas.openxmlformats.org/officeDocument/2006/relationships/image" Target="../media/image54.emf"/><Relationship Id="rId186" Type="http://schemas.openxmlformats.org/officeDocument/2006/relationships/image" Target="../media/image33.emf"/><Relationship Id="rId211" Type="http://schemas.openxmlformats.org/officeDocument/2006/relationships/image" Target="../media/image8.emf"/><Relationship Id="rId27" Type="http://schemas.openxmlformats.org/officeDocument/2006/relationships/image" Target="../media/image192.emf"/><Relationship Id="rId48" Type="http://schemas.openxmlformats.org/officeDocument/2006/relationships/image" Target="../media/image171.emf"/><Relationship Id="rId69" Type="http://schemas.openxmlformats.org/officeDocument/2006/relationships/image" Target="../media/image150.emf"/><Relationship Id="rId113" Type="http://schemas.openxmlformats.org/officeDocument/2006/relationships/image" Target="../media/image106.emf"/><Relationship Id="rId134" Type="http://schemas.openxmlformats.org/officeDocument/2006/relationships/image" Target="../media/image85.emf"/><Relationship Id="rId80" Type="http://schemas.openxmlformats.org/officeDocument/2006/relationships/image" Target="../media/image139.emf"/><Relationship Id="rId155" Type="http://schemas.openxmlformats.org/officeDocument/2006/relationships/image" Target="../media/image64.emf"/><Relationship Id="rId176" Type="http://schemas.openxmlformats.org/officeDocument/2006/relationships/image" Target="../media/image43.emf"/><Relationship Id="rId197" Type="http://schemas.openxmlformats.org/officeDocument/2006/relationships/image" Target="../media/image22.emf"/><Relationship Id="rId201" Type="http://schemas.openxmlformats.org/officeDocument/2006/relationships/image" Target="../media/image18.emf"/><Relationship Id="rId17" Type="http://schemas.openxmlformats.org/officeDocument/2006/relationships/image" Target="../media/image202.emf"/><Relationship Id="rId38" Type="http://schemas.openxmlformats.org/officeDocument/2006/relationships/image" Target="../media/image181.emf"/><Relationship Id="rId59" Type="http://schemas.openxmlformats.org/officeDocument/2006/relationships/image" Target="../media/image160.emf"/><Relationship Id="rId103" Type="http://schemas.openxmlformats.org/officeDocument/2006/relationships/image" Target="../media/image116.emf"/><Relationship Id="rId124" Type="http://schemas.openxmlformats.org/officeDocument/2006/relationships/image" Target="../media/image95.emf"/><Relationship Id="rId70" Type="http://schemas.openxmlformats.org/officeDocument/2006/relationships/image" Target="../media/image149.emf"/><Relationship Id="rId91" Type="http://schemas.openxmlformats.org/officeDocument/2006/relationships/image" Target="../media/image128.emf"/><Relationship Id="rId145" Type="http://schemas.openxmlformats.org/officeDocument/2006/relationships/image" Target="../media/image74.emf"/><Relationship Id="rId166" Type="http://schemas.openxmlformats.org/officeDocument/2006/relationships/image" Target="../media/image53.emf"/><Relationship Id="rId187" Type="http://schemas.openxmlformats.org/officeDocument/2006/relationships/image" Target="../media/image32.emf"/><Relationship Id="rId1" Type="http://schemas.openxmlformats.org/officeDocument/2006/relationships/image" Target="../media/image218.emf"/><Relationship Id="rId212" Type="http://schemas.openxmlformats.org/officeDocument/2006/relationships/image" Target="../media/image7.emf"/><Relationship Id="rId28" Type="http://schemas.openxmlformats.org/officeDocument/2006/relationships/image" Target="../media/image191.emf"/><Relationship Id="rId49" Type="http://schemas.openxmlformats.org/officeDocument/2006/relationships/image" Target="../media/image170.emf"/><Relationship Id="rId114" Type="http://schemas.openxmlformats.org/officeDocument/2006/relationships/image" Target="../media/image105.emf"/><Relationship Id="rId60" Type="http://schemas.openxmlformats.org/officeDocument/2006/relationships/image" Target="../media/image159.emf"/><Relationship Id="rId81" Type="http://schemas.openxmlformats.org/officeDocument/2006/relationships/image" Target="../media/image138.emf"/><Relationship Id="rId135" Type="http://schemas.openxmlformats.org/officeDocument/2006/relationships/image" Target="../media/image84.emf"/><Relationship Id="rId156" Type="http://schemas.openxmlformats.org/officeDocument/2006/relationships/image" Target="../media/image63.emf"/><Relationship Id="rId177" Type="http://schemas.openxmlformats.org/officeDocument/2006/relationships/image" Target="../media/image42.emf"/><Relationship Id="rId198" Type="http://schemas.openxmlformats.org/officeDocument/2006/relationships/image" Target="../media/image21.emf"/><Relationship Id="rId202" Type="http://schemas.openxmlformats.org/officeDocument/2006/relationships/image" Target="../media/image17.emf"/><Relationship Id="rId18" Type="http://schemas.openxmlformats.org/officeDocument/2006/relationships/image" Target="../media/image201.emf"/><Relationship Id="rId39" Type="http://schemas.openxmlformats.org/officeDocument/2006/relationships/image" Target="../media/image180.emf"/><Relationship Id="rId50" Type="http://schemas.openxmlformats.org/officeDocument/2006/relationships/image" Target="../media/image169.emf"/><Relationship Id="rId104" Type="http://schemas.openxmlformats.org/officeDocument/2006/relationships/image" Target="../media/image115.emf"/><Relationship Id="rId125" Type="http://schemas.openxmlformats.org/officeDocument/2006/relationships/image" Target="../media/image94.emf"/><Relationship Id="rId146" Type="http://schemas.openxmlformats.org/officeDocument/2006/relationships/image" Target="../media/image73.emf"/><Relationship Id="rId167" Type="http://schemas.openxmlformats.org/officeDocument/2006/relationships/image" Target="../media/image52.emf"/><Relationship Id="rId188" Type="http://schemas.openxmlformats.org/officeDocument/2006/relationships/image" Target="../media/image31.emf"/><Relationship Id="rId71" Type="http://schemas.openxmlformats.org/officeDocument/2006/relationships/image" Target="../media/image148.emf"/><Relationship Id="rId92" Type="http://schemas.openxmlformats.org/officeDocument/2006/relationships/image" Target="../media/image127.emf"/><Relationship Id="rId213" Type="http://schemas.openxmlformats.org/officeDocument/2006/relationships/image" Target="../media/image6.emf"/><Relationship Id="rId2" Type="http://schemas.openxmlformats.org/officeDocument/2006/relationships/image" Target="../media/image217.emf"/><Relationship Id="rId29" Type="http://schemas.openxmlformats.org/officeDocument/2006/relationships/image" Target="../media/image190.emf"/><Relationship Id="rId40" Type="http://schemas.openxmlformats.org/officeDocument/2006/relationships/image" Target="../media/image179.emf"/><Relationship Id="rId115" Type="http://schemas.openxmlformats.org/officeDocument/2006/relationships/image" Target="../media/image104.emf"/><Relationship Id="rId136" Type="http://schemas.openxmlformats.org/officeDocument/2006/relationships/image" Target="../media/image83.emf"/><Relationship Id="rId157" Type="http://schemas.openxmlformats.org/officeDocument/2006/relationships/image" Target="../media/image62.emf"/><Relationship Id="rId178" Type="http://schemas.openxmlformats.org/officeDocument/2006/relationships/image" Target="../media/image41.emf"/><Relationship Id="rId61" Type="http://schemas.openxmlformats.org/officeDocument/2006/relationships/image" Target="../media/image158.emf"/><Relationship Id="rId82" Type="http://schemas.openxmlformats.org/officeDocument/2006/relationships/image" Target="../media/image137.emf"/><Relationship Id="rId199" Type="http://schemas.openxmlformats.org/officeDocument/2006/relationships/image" Target="../media/image20.emf"/><Relationship Id="rId203" Type="http://schemas.openxmlformats.org/officeDocument/2006/relationships/image" Target="../media/image16.emf"/><Relationship Id="rId19" Type="http://schemas.openxmlformats.org/officeDocument/2006/relationships/image" Target="../media/image2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30480</xdr:rowOff>
        </xdr:from>
        <xdr:to>
          <xdr:col>16</xdr:col>
          <xdr:colOff>175260</xdr:colOff>
          <xdr:row>3</xdr:row>
          <xdr:rowOff>7620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45720</xdr:rowOff>
        </xdr:from>
        <xdr:to>
          <xdr:col>2</xdr:col>
          <xdr:colOff>998220</xdr:colOff>
          <xdr:row>0</xdr:row>
          <xdr:rowOff>320040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3" name="CheckBox67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4" name="CheckBox68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5" name="CheckBox69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6" name="CheckBox70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7" name="CheckBox71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8" name="CheckBox72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099" name="CheckBox73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0" name="CheckBox74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1" name="CheckBox75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2" name="CheckBox76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3" name="CheckBox77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4" name="CheckBox78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5" name="CheckBox79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6" name="CheckBox80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7" name="CheckBox81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8" name="CheckBox82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09" name="CheckBox83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0" name="CheckBox84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1" name="CheckBox8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2" name="CheckBox86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3" name="CheckBox87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4" name="CheckBox88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5" name="CheckBox89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6" name="CheckBox90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7" name="CheckBox91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8" name="CheckBox92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19" name="CheckBox93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0" name="CheckBox94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1" name="CheckBox9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2" name="CheckBox96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3" name="CheckBox97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4" name="CheckBox98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5" name="CheckBox99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6" name="CheckBox100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7" name="CheckBox101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8" name="CheckBox102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29" name="CheckBox103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0" name="CheckBox104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1" name="CheckBox10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2" name="CheckBox106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3" name="CheckBox107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4" name="CheckBox108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5" name="CheckBox109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6" name="CheckBox110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7" name="CheckBox111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8" name="CheckBox112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39" name="CheckBox113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0" name="CheckBox114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1" name="CheckBox115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2" name="CheckBox116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3" name="CheckBox117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4" name="CheckBox118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5" name="CheckBox119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6" name="CheckBox120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7" name="CheckBox12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8" name="CheckBox12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49" name="CheckBox123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0" name="CheckBox124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1" name="CheckBox125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2" name="CheckBox126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3" name="CheckBox127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4" name="CheckBox128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5" name="CheckBox129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6" name="CheckBox130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7" name="CheckBox131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8" name="CheckBox132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59" name="CheckBox133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0" name="CheckBox134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1" name="CheckBox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2" name="CheckBox136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3" name="CheckBox137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4" name="CheckBox138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5" name="CheckBox139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6" name="CheckBox140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7" name="CheckBox141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8" name="CheckBox142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69" name="CheckBox143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0" name="CheckBox144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1" name="CheckBox145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2" name="CheckBox146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3" name="CheckBox147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4" name="CheckBox148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5" name="CheckBox149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6" name="CheckBox150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7" name="CheckBox151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8" name="CheckBox152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79" name="CheckBox153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0" name="CheckBox154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1" name="CheckBox155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2" name="CheckBox156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3" name="CheckBox157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4" name="CheckBox158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5" name="CheckBox159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6" name="CheckBox160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7" name="CheckBox161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8" name="CheckBox162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89" name="CheckBox163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0" name="CheckBox164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1" name="CheckBox16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2" name="CheckBox166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3" name="CheckBox167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4" name="CheckBox168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5" name="CheckBox169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6" name="CheckBox170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7" name="CheckBox171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8" name="CheckBox172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199" name="CheckBox173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0" name="CheckBox174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1" name="CheckBox17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2" name="CheckBox176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3" name="CheckBox177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4" name="CheckBox178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5" name="CheckBox179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6" name="CheckBox180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7" name="CheckBox181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8" name="CheckBox182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09" name="CheckBox183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0" name="CheckBox184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1" name="CheckBox185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2" name="CheckBox186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3" name="CheckBox187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4" name="CheckBox188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5" name="CheckBox189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6" name="CheckBox190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7" name="CheckBox191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8" name="CheckBox192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19" name="CheckBox193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0" name="CheckBox194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1" name="CheckBox195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2" name="CheckBox196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3" name="CheckBox197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4" name="CheckBox198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5" name="CheckBox199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6" name="CheckBox200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7" name="CheckBox201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8" name="CheckBox202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29" name="CheckBox203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0" name="CheckBox204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1" name="CheckBox205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2" name="CheckBox206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3" name="CheckBox207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4" name="CheckBox208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5" name="CheckBox209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6" name="CheckBox210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7" name="CheckBox211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8" name="CheckBox212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39" name="CheckBox213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0" name="CheckBox214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1" name="CheckBox215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2" name="CheckBox216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3" name="CheckBox217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4" name="CheckBox218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5" name="CheckBox219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6" name="CheckBox220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7" name="CheckBox221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8" name="CheckBox222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49" name="CheckBox223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0" name="CheckBox224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1" name="CheckBox225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2" name="CheckBox226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3" name="CheckBox227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4" name="CheckBox228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5" name="CheckBox229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6" name="CheckBox230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7" name="CheckBox231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8" name="CheckBox232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59" name="CheckBox233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0" name="CheckBox234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1" name="CheckBox235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2" name="CheckBox236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3" name="CheckBox237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4" name="CheckBox238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5" name="CheckBox239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6" name="CheckBox240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7" name="CheckBox241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8" name="CheckBox242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69" name="CheckBox243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0" name="CheckBox244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1" name="CheckBox245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2" name="CheckBox246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3" name="CheckBox247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4" name="CheckBox248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5" name="CheckBox249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6" name="CheckBox25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7" name="CheckBox25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8" name="CheckBox25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79" name="CheckBox25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0" name="CheckBox25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1" name="CheckBox25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2" name="CheckBox25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3" name="CheckBox25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4" name="CheckBox25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5" name="CheckBox25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6" name="CheckBox26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7" name="CheckBox26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8" name="CheckBox26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89" name="CheckBox263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0" name="CheckBox264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1" name="CheckBox265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2" name="CheckBox266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3" name="CheckBox267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4" name="CheckBox268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5" name="CheckBox269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6" name="CheckBox270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7" name="CheckBox27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8" name="CheckBox272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299" name="CheckBox273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0" name="CheckBox274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1" name="CheckBox275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2" name="CheckBox276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3" name="CheckBox277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4" name="CheckBox27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5" name="CheckBox279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6" name="CheckBox280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7" name="CheckBox281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8" name="CheckBox282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09" name="CheckBox283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112</xdr:row>
          <xdr:rowOff>0</xdr:rowOff>
        </xdr:from>
        <xdr:to>
          <xdr:col>17</xdr:col>
          <xdr:colOff>0</xdr:colOff>
          <xdr:row>113</xdr:row>
          <xdr:rowOff>7620</xdr:rowOff>
        </xdr:to>
        <xdr:sp macro="" textlink="">
          <xdr:nvSpPr>
            <xdr:cNvPr id="1310" name="CheckBox284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45720</xdr:rowOff>
        </xdr:from>
        <xdr:to>
          <xdr:col>5</xdr:col>
          <xdr:colOff>586740</xdr:colOff>
          <xdr:row>0</xdr:row>
          <xdr:rowOff>320040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Izbrisi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16</xdr:col>
          <xdr:colOff>175260</xdr:colOff>
          <xdr:row>3</xdr:row>
          <xdr:rowOff>175260</xdr:rowOff>
        </xdr:to>
        <xdr:sp macro="" textlink="">
          <xdr:nvSpPr>
            <xdr:cNvPr id="1313" name="Check Box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16</xdr:col>
          <xdr:colOff>175260</xdr:colOff>
          <xdr:row>3</xdr:row>
          <xdr:rowOff>175260</xdr:rowOff>
        </xdr:to>
        <xdr:sp macro="" textlink="">
          <xdr:nvSpPr>
            <xdr:cNvPr id="1314" name="Check Box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0</xdr:rowOff>
        </xdr:from>
        <xdr:to>
          <xdr:col>16</xdr:col>
          <xdr:colOff>175260</xdr:colOff>
          <xdr:row>3</xdr:row>
          <xdr:rowOff>175260</xdr:rowOff>
        </xdr:to>
        <xdr:sp macro="" textlink="">
          <xdr:nvSpPr>
            <xdr:cNvPr id="1315" name="Check Box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16</xdr:col>
          <xdr:colOff>175260</xdr:colOff>
          <xdr:row>4</xdr:row>
          <xdr:rowOff>175260</xdr:rowOff>
        </xdr:to>
        <xdr:sp macro="" textlink="">
          <xdr:nvSpPr>
            <xdr:cNvPr id="1320" name="Check Box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16</xdr:col>
          <xdr:colOff>175260</xdr:colOff>
          <xdr:row>4</xdr:row>
          <xdr:rowOff>175260</xdr:rowOff>
        </xdr:to>
        <xdr:sp macro="" textlink="">
          <xdr:nvSpPr>
            <xdr:cNvPr id="1321" name="Check Box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16</xdr:col>
          <xdr:colOff>175260</xdr:colOff>
          <xdr:row>4</xdr:row>
          <xdr:rowOff>175260</xdr:rowOff>
        </xdr:to>
        <xdr:sp macro="" textlink="">
          <xdr:nvSpPr>
            <xdr:cNvPr id="1322" name="Check Box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16</xdr:col>
          <xdr:colOff>175260</xdr:colOff>
          <xdr:row>4</xdr:row>
          <xdr:rowOff>175260</xdr:rowOff>
        </xdr:to>
        <xdr:sp macro="" textlink="">
          <xdr:nvSpPr>
            <xdr:cNvPr id="1323" name="Check Box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129540</xdr:colOff>
      <xdr:row>0</xdr:row>
      <xdr:rowOff>22860</xdr:rowOff>
    </xdr:from>
    <xdr:to>
      <xdr:col>26</xdr:col>
      <xdr:colOff>129540</xdr:colOff>
      <xdr:row>4</xdr:row>
      <xdr:rowOff>0</xdr:rowOff>
    </xdr:to>
    <xdr:pic>
      <xdr:nvPicPr>
        <xdr:cNvPr id="2058" name="Picture 1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9" t="22307" r="2576" b="5383"/>
        <a:stretch>
          <a:fillRect/>
        </a:stretch>
      </xdr:blipFill>
      <xdr:spPr bwMode="auto">
        <a:xfrm>
          <a:off x="5532120" y="22860"/>
          <a:ext cx="1371600" cy="64008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1165860</xdr:colOff>
          <xdr:row>1</xdr:row>
          <xdr:rowOff>137160</xdr:rowOff>
        </xdr:from>
        <xdr:to>
          <xdr:col>29</xdr:col>
          <xdr:colOff>2316480</xdr:colOff>
          <xdr:row>6</xdr:row>
          <xdr:rowOff>45720</xdr:rowOff>
        </xdr:to>
        <xdr:sp macro="" textlink="">
          <xdr:nvSpPr>
            <xdr:cNvPr id="2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Poročilo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411480</xdr:colOff>
          <xdr:row>1</xdr:row>
          <xdr:rowOff>137160</xdr:rowOff>
        </xdr:from>
        <xdr:to>
          <xdr:col>29</xdr:col>
          <xdr:colOff>1104900</xdr:colOff>
          <xdr:row>6</xdr:row>
          <xdr:rowOff>45720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Shrani Nalog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678180</xdr:colOff>
      <xdr:row>19</xdr:row>
      <xdr:rowOff>129540</xdr:rowOff>
    </xdr:from>
    <xdr:to>
      <xdr:col>40</xdr:col>
      <xdr:colOff>891540</xdr:colOff>
      <xdr:row>31</xdr:row>
      <xdr:rowOff>30480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 title="Mini Calendar and Date Picker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 title="Mini Calendar and Date Picker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P112" totalsRowShown="0" headerRowDxfId="5" headerRowBorderDxfId="4" tableBorderDxfId="3">
  <autoFilter ref="A2:P112" xr:uid="{00000000-0009-0000-0100-000001000000}"/>
  <sortState ref="A3:O112">
    <sortCondition descending="1" ref="C2:C112"/>
  </sortState>
  <tableColumns count="16">
    <tableColumn id="1" xr3:uid="{00000000-0010-0000-0000-000001000000}" name="Predal" dataDxfId="2"/>
    <tableColumn id="2" xr3:uid="{00000000-0010-0000-0000-000002000000}" name="Datum" dataDxfId="1"/>
    <tableColumn id="3" xr3:uid="{00000000-0010-0000-0000-000003000000}" name="Terapevt"/>
    <tableColumn id="4" xr3:uid="{00000000-0010-0000-0000-000004000000}" name="Pacient"/>
    <tableColumn id="5" xr3:uid="{00000000-0010-0000-0000-000005000000}" name="1"/>
    <tableColumn id="6" xr3:uid="{00000000-0010-0000-0000-000006000000}" name="Status1" dataDxfId="0"/>
    <tableColumn id="7" xr3:uid="{00000000-0010-0000-0000-000007000000}" name="2"/>
    <tableColumn id="8" xr3:uid="{00000000-0010-0000-0000-000008000000}" name="Status2 "/>
    <tableColumn id="9" xr3:uid="{00000000-0010-0000-0000-000009000000}" name="Naročilo"/>
    <tableColumn id="10" xr3:uid="{00000000-0010-0000-0000-00000A000000}" name="Nosilec"/>
    <tableColumn id="11" xr3:uid="{00000000-0010-0000-0000-00000B000000}" name="Material"/>
    <tableColumn id="12" xr3:uid="{00000000-0010-0000-0000-00000C000000}" name="Kovina"/>
    <tableColumn id="13" xr3:uid="{00000000-0010-0000-0000-00000D000000}" name="Barva"/>
    <tableColumn id="14" xr3:uid="{00000000-0010-0000-0000-00000E000000}" name="Proba"/>
    <tableColumn id="15" xr3:uid="{00000000-0010-0000-0000-00000F000000}" name="Izgotovitev"/>
    <tableColumn id="16" xr3:uid="{8BDCBFCA-CD5A-4CB8-9233-670F272248DB}" name="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0.png"/></Relationships>
</file>

<file path=xl/webextensions/webextension1.xml><?xml version="1.0" encoding="utf-8"?>
<we:webextension xmlns:we="http://schemas.microsoft.com/office/webextensions/webextension/2010/11" id="{00000000-0008-0000-0100-000004000000}">
  <we:reference id="wa102957665" version="1.3.0.0" store="en-US" storeType="OMEX"/>
  <we:alternateReferences>
    <we:reference id="WA102957665" version="1.3.0.0" store="WA102957665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image" Target="../media/image148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324" Type="http://schemas.openxmlformats.org/officeDocument/2006/relationships/control" Target="../activeX/activeX161.xml"/><Relationship Id="rId366" Type="http://schemas.openxmlformats.org/officeDocument/2006/relationships/control" Target="../activeX/activeX182.xml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433" Type="http://schemas.openxmlformats.org/officeDocument/2006/relationships/image" Target="../media/image215.emf"/><Relationship Id="rId268" Type="http://schemas.openxmlformats.org/officeDocument/2006/relationships/control" Target="../activeX/activeX133.xml"/><Relationship Id="rId32" Type="http://schemas.openxmlformats.org/officeDocument/2006/relationships/control" Target="../activeX/activeX15.xml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335" Type="http://schemas.openxmlformats.org/officeDocument/2006/relationships/image" Target="../media/image166.emf"/><Relationship Id="rId377" Type="http://schemas.openxmlformats.org/officeDocument/2006/relationships/image" Target="../media/image187.emf"/><Relationship Id="rId5" Type="http://schemas.openxmlformats.org/officeDocument/2006/relationships/image" Target="../media/image1.emf"/><Relationship Id="rId181" Type="http://schemas.openxmlformats.org/officeDocument/2006/relationships/image" Target="../media/image89.emf"/><Relationship Id="rId237" Type="http://schemas.openxmlformats.org/officeDocument/2006/relationships/image" Target="../media/image117.emf"/><Relationship Id="rId402" Type="http://schemas.openxmlformats.org/officeDocument/2006/relationships/control" Target="../activeX/activeX200.xml"/><Relationship Id="rId279" Type="http://schemas.openxmlformats.org/officeDocument/2006/relationships/image" Target="../media/image138.emf"/><Relationship Id="rId444" Type="http://schemas.openxmlformats.org/officeDocument/2006/relationships/ctrlProp" Target="../ctrlProps/ctrlProp5.xml"/><Relationship Id="rId43" Type="http://schemas.openxmlformats.org/officeDocument/2006/relationships/image" Target="../media/image20.emf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ontrol" Target="../activeX/activeX151.xml"/><Relationship Id="rId346" Type="http://schemas.openxmlformats.org/officeDocument/2006/relationships/control" Target="../activeX/activeX172.xml"/><Relationship Id="rId388" Type="http://schemas.openxmlformats.org/officeDocument/2006/relationships/control" Target="../activeX/activeX193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413" Type="http://schemas.openxmlformats.org/officeDocument/2006/relationships/image" Target="../media/image205.emf"/><Relationship Id="rId248" Type="http://schemas.openxmlformats.org/officeDocument/2006/relationships/control" Target="../activeX/activeX123.xml"/><Relationship Id="rId12" Type="http://schemas.openxmlformats.org/officeDocument/2006/relationships/control" Target="../activeX/activeX5.xml"/><Relationship Id="rId108" Type="http://schemas.openxmlformats.org/officeDocument/2006/relationships/control" Target="../activeX/activeX53.xml"/><Relationship Id="rId315" Type="http://schemas.openxmlformats.org/officeDocument/2006/relationships/image" Target="../media/image156.emf"/><Relationship Id="rId357" Type="http://schemas.openxmlformats.org/officeDocument/2006/relationships/image" Target="../media/image177.emf"/><Relationship Id="rId54" Type="http://schemas.openxmlformats.org/officeDocument/2006/relationships/control" Target="../activeX/activeX26.xml"/><Relationship Id="rId96" Type="http://schemas.openxmlformats.org/officeDocument/2006/relationships/control" Target="../activeX/activeX47.xml"/><Relationship Id="rId161" Type="http://schemas.openxmlformats.org/officeDocument/2006/relationships/image" Target="../media/image79.emf"/><Relationship Id="rId217" Type="http://schemas.openxmlformats.org/officeDocument/2006/relationships/image" Target="../media/image107.emf"/><Relationship Id="rId399" Type="http://schemas.openxmlformats.org/officeDocument/2006/relationships/image" Target="../media/image198.emf"/><Relationship Id="rId259" Type="http://schemas.openxmlformats.org/officeDocument/2006/relationships/image" Target="../media/image128.emf"/><Relationship Id="rId424" Type="http://schemas.openxmlformats.org/officeDocument/2006/relationships/control" Target="../activeX/activeX211.xml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326" Type="http://schemas.openxmlformats.org/officeDocument/2006/relationships/control" Target="../activeX/activeX162.xml"/><Relationship Id="rId65" Type="http://schemas.openxmlformats.org/officeDocument/2006/relationships/image" Target="../media/image31.emf"/><Relationship Id="rId130" Type="http://schemas.openxmlformats.org/officeDocument/2006/relationships/control" Target="../activeX/activeX64.xml"/><Relationship Id="rId368" Type="http://schemas.openxmlformats.org/officeDocument/2006/relationships/control" Target="../activeX/activeX183.xml"/><Relationship Id="rId172" Type="http://schemas.openxmlformats.org/officeDocument/2006/relationships/control" Target="../activeX/activeX85.xml"/><Relationship Id="rId228" Type="http://schemas.openxmlformats.org/officeDocument/2006/relationships/control" Target="../activeX/activeX113.xml"/><Relationship Id="rId435" Type="http://schemas.openxmlformats.org/officeDocument/2006/relationships/image" Target="../media/image216.emf"/><Relationship Id="rId281" Type="http://schemas.openxmlformats.org/officeDocument/2006/relationships/image" Target="../media/image139.emf"/><Relationship Id="rId337" Type="http://schemas.openxmlformats.org/officeDocument/2006/relationships/image" Target="../media/image167.emf"/><Relationship Id="rId34" Type="http://schemas.openxmlformats.org/officeDocument/2006/relationships/control" Target="../activeX/activeX16.xml"/><Relationship Id="rId76" Type="http://schemas.openxmlformats.org/officeDocument/2006/relationships/control" Target="../activeX/activeX37.xml"/><Relationship Id="rId141" Type="http://schemas.openxmlformats.org/officeDocument/2006/relationships/image" Target="../media/image69.emf"/><Relationship Id="rId379" Type="http://schemas.openxmlformats.org/officeDocument/2006/relationships/image" Target="../media/image188.emf"/><Relationship Id="rId7" Type="http://schemas.openxmlformats.org/officeDocument/2006/relationships/image" Target="../media/image2.emf"/><Relationship Id="rId183" Type="http://schemas.openxmlformats.org/officeDocument/2006/relationships/image" Target="../media/image90.emf"/><Relationship Id="rId239" Type="http://schemas.openxmlformats.org/officeDocument/2006/relationships/image" Target="../media/image118.emf"/><Relationship Id="rId390" Type="http://schemas.openxmlformats.org/officeDocument/2006/relationships/control" Target="../activeX/activeX194.xml"/><Relationship Id="rId404" Type="http://schemas.openxmlformats.org/officeDocument/2006/relationships/control" Target="../activeX/activeX201.xml"/><Relationship Id="rId446" Type="http://schemas.openxmlformats.org/officeDocument/2006/relationships/ctrlProp" Target="../ctrlProps/ctrlProp7.xml"/><Relationship Id="rId250" Type="http://schemas.openxmlformats.org/officeDocument/2006/relationships/control" Target="../activeX/activeX124.xml"/><Relationship Id="rId292" Type="http://schemas.openxmlformats.org/officeDocument/2006/relationships/control" Target="../activeX/activeX145.xml"/><Relationship Id="rId306" Type="http://schemas.openxmlformats.org/officeDocument/2006/relationships/control" Target="../activeX/activeX152.xml"/><Relationship Id="rId45" Type="http://schemas.openxmlformats.org/officeDocument/2006/relationships/image" Target="../media/image21.emf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348" Type="http://schemas.openxmlformats.org/officeDocument/2006/relationships/control" Target="../activeX/activeX173.xml"/><Relationship Id="rId152" Type="http://schemas.openxmlformats.org/officeDocument/2006/relationships/control" Target="../activeX/activeX75.xml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415" Type="http://schemas.openxmlformats.org/officeDocument/2006/relationships/image" Target="../media/image206.emf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56" Type="http://schemas.openxmlformats.org/officeDocument/2006/relationships/control" Target="../activeX/activeX27.xml"/><Relationship Id="rId317" Type="http://schemas.openxmlformats.org/officeDocument/2006/relationships/image" Target="../media/image157.emf"/><Relationship Id="rId359" Type="http://schemas.openxmlformats.org/officeDocument/2006/relationships/image" Target="../media/image178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63" Type="http://schemas.openxmlformats.org/officeDocument/2006/relationships/image" Target="../media/image80.emf"/><Relationship Id="rId219" Type="http://schemas.openxmlformats.org/officeDocument/2006/relationships/image" Target="../media/image108.emf"/><Relationship Id="rId370" Type="http://schemas.openxmlformats.org/officeDocument/2006/relationships/control" Target="../activeX/activeX184.xml"/><Relationship Id="rId426" Type="http://schemas.openxmlformats.org/officeDocument/2006/relationships/control" Target="../activeX/activeX212.xml"/><Relationship Id="rId230" Type="http://schemas.openxmlformats.org/officeDocument/2006/relationships/control" Target="../activeX/activeX114.xml"/><Relationship Id="rId25" Type="http://schemas.openxmlformats.org/officeDocument/2006/relationships/image" Target="../media/image11.emf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328" Type="http://schemas.openxmlformats.org/officeDocument/2006/relationships/control" Target="../activeX/activeX163.xml"/><Relationship Id="rId132" Type="http://schemas.openxmlformats.org/officeDocument/2006/relationships/control" Target="../activeX/activeX65.xml"/><Relationship Id="rId174" Type="http://schemas.openxmlformats.org/officeDocument/2006/relationships/control" Target="../activeX/activeX86.xml"/><Relationship Id="rId381" Type="http://schemas.openxmlformats.org/officeDocument/2006/relationships/image" Target="../media/image189.emf"/><Relationship Id="rId241" Type="http://schemas.openxmlformats.org/officeDocument/2006/relationships/image" Target="../media/image119.emf"/><Relationship Id="rId437" Type="http://schemas.openxmlformats.org/officeDocument/2006/relationships/image" Target="../media/image217.emf"/><Relationship Id="rId36" Type="http://schemas.openxmlformats.org/officeDocument/2006/relationships/control" Target="../activeX/activeX17.xml"/><Relationship Id="rId283" Type="http://schemas.openxmlformats.org/officeDocument/2006/relationships/image" Target="../media/image140.emf"/><Relationship Id="rId339" Type="http://schemas.openxmlformats.org/officeDocument/2006/relationships/image" Target="../media/image168.emf"/><Relationship Id="rId78" Type="http://schemas.openxmlformats.org/officeDocument/2006/relationships/control" Target="../activeX/activeX38.xml"/><Relationship Id="rId101" Type="http://schemas.openxmlformats.org/officeDocument/2006/relationships/image" Target="../media/image49.emf"/><Relationship Id="rId143" Type="http://schemas.openxmlformats.org/officeDocument/2006/relationships/image" Target="../media/image70.emf"/><Relationship Id="rId185" Type="http://schemas.openxmlformats.org/officeDocument/2006/relationships/image" Target="../media/image91.emf"/><Relationship Id="rId350" Type="http://schemas.openxmlformats.org/officeDocument/2006/relationships/control" Target="../activeX/activeX174.xml"/><Relationship Id="rId406" Type="http://schemas.openxmlformats.org/officeDocument/2006/relationships/control" Target="../activeX/activeX202.xml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392" Type="http://schemas.openxmlformats.org/officeDocument/2006/relationships/control" Target="../activeX/activeX195.xml"/><Relationship Id="rId448" Type="http://schemas.openxmlformats.org/officeDocument/2006/relationships/ctrlProp" Target="../ctrlProps/ctrlProp9.xml"/><Relationship Id="rId252" Type="http://schemas.openxmlformats.org/officeDocument/2006/relationships/control" Target="../activeX/activeX125.xml"/><Relationship Id="rId294" Type="http://schemas.openxmlformats.org/officeDocument/2006/relationships/control" Target="../activeX/activeX146.xml"/><Relationship Id="rId308" Type="http://schemas.openxmlformats.org/officeDocument/2006/relationships/control" Target="../activeX/activeX153.xml"/><Relationship Id="rId47" Type="http://schemas.openxmlformats.org/officeDocument/2006/relationships/image" Target="../media/image22.emf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54" Type="http://schemas.openxmlformats.org/officeDocument/2006/relationships/control" Target="../activeX/activeX76.xml"/><Relationship Id="rId361" Type="http://schemas.openxmlformats.org/officeDocument/2006/relationships/image" Target="../media/image179.emf"/><Relationship Id="rId196" Type="http://schemas.openxmlformats.org/officeDocument/2006/relationships/control" Target="../activeX/activeX97.xml"/><Relationship Id="rId417" Type="http://schemas.openxmlformats.org/officeDocument/2006/relationships/image" Target="../media/image207.emf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63" Type="http://schemas.openxmlformats.org/officeDocument/2006/relationships/image" Target="../media/image130.emf"/><Relationship Id="rId319" Type="http://schemas.openxmlformats.org/officeDocument/2006/relationships/image" Target="../media/image158.emf"/><Relationship Id="rId58" Type="http://schemas.openxmlformats.org/officeDocument/2006/relationships/control" Target="../activeX/activeX28.xml"/><Relationship Id="rId123" Type="http://schemas.openxmlformats.org/officeDocument/2006/relationships/image" Target="../media/image60.emf"/><Relationship Id="rId330" Type="http://schemas.openxmlformats.org/officeDocument/2006/relationships/control" Target="../activeX/activeX164.xml"/><Relationship Id="rId165" Type="http://schemas.openxmlformats.org/officeDocument/2006/relationships/image" Target="../media/image81.emf"/><Relationship Id="rId372" Type="http://schemas.openxmlformats.org/officeDocument/2006/relationships/control" Target="../activeX/activeX185.xml"/><Relationship Id="rId428" Type="http://schemas.openxmlformats.org/officeDocument/2006/relationships/control" Target="../activeX/activeX213.xml"/><Relationship Id="rId232" Type="http://schemas.openxmlformats.org/officeDocument/2006/relationships/control" Target="../activeX/activeX115.xml"/><Relationship Id="rId274" Type="http://schemas.openxmlformats.org/officeDocument/2006/relationships/control" Target="../activeX/activeX136.xml"/><Relationship Id="rId27" Type="http://schemas.openxmlformats.org/officeDocument/2006/relationships/image" Target="../media/image12.emf"/><Relationship Id="rId69" Type="http://schemas.openxmlformats.org/officeDocument/2006/relationships/image" Target="../media/image33.emf"/><Relationship Id="rId134" Type="http://schemas.openxmlformats.org/officeDocument/2006/relationships/control" Target="../activeX/activeX66.xml"/><Relationship Id="rId80" Type="http://schemas.openxmlformats.org/officeDocument/2006/relationships/control" Target="../activeX/activeX39.xml"/><Relationship Id="rId176" Type="http://schemas.openxmlformats.org/officeDocument/2006/relationships/control" Target="../activeX/activeX87.xml"/><Relationship Id="rId341" Type="http://schemas.openxmlformats.org/officeDocument/2006/relationships/image" Target="../media/image169.emf"/><Relationship Id="rId383" Type="http://schemas.openxmlformats.org/officeDocument/2006/relationships/image" Target="../media/image190.emf"/><Relationship Id="rId439" Type="http://schemas.openxmlformats.org/officeDocument/2006/relationships/image" Target="../media/image218.emf"/><Relationship Id="rId201" Type="http://schemas.openxmlformats.org/officeDocument/2006/relationships/image" Target="../media/image99.emf"/><Relationship Id="rId243" Type="http://schemas.openxmlformats.org/officeDocument/2006/relationships/image" Target="../media/image120.emf"/><Relationship Id="rId285" Type="http://schemas.openxmlformats.org/officeDocument/2006/relationships/image" Target="../media/image141.emf"/><Relationship Id="rId450" Type="http://schemas.openxmlformats.org/officeDocument/2006/relationships/table" Target="../tables/table1.xml"/><Relationship Id="rId38" Type="http://schemas.openxmlformats.org/officeDocument/2006/relationships/control" Target="../activeX/activeX18.xml"/><Relationship Id="rId103" Type="http://schemas.openxmlformats.org/officeDocument/2006/relationships/image" Target="../media/image50.emf"/><Relationship Id="rId310" Type="http://schemas.openxmlformats.org/officeDocument/2006/relationships/control" Target="../activeX/activeX15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87" Type="http://schemas.openxmlformats.org/officeDocument/2006/relationships/image" Target="../media/image92.emf"/><Relationship Id="rId352" Type="http://schemas.openxmlformats.org/officeDocument/2006/relationships/control" Target="../activeX/activeX175.xml"/><Relationship Id="rId394" Type="http://schemas.openxmlformats.org/officeDocument/2006/relationships/control" Target="../activeX/activeX196.xml"/><Relationship Id="rId408" Type="http://schemas.openxmlformats.org/officeDocument/2006/relationships/control" Target="../activeX/activeX203.xml"/><Relationship Id="rId212" Type="http://schemas.openxmlformats.org/officeDocument/2006/relationships/control" Target="../activeX/activeX105.xml"/><Relationship Id="rId254" Type="http://schemas.openxmlformats.org/officeDocument/2006/relationships/control" Target="../activeX/activeX126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96" Type="http://schemas.openxmlformats.org/officeDocument/2006/relationships/control" Target="../activeX/activeX147.xml"/><Relationship Id="rId60" Type="http://schemas.openxmlformats.org/officeDocument/2006/relationships/control" Target="../activeX/activeX29.xml"/><Relationship Id="rId156" Type="http://schemas.openxmlformats.org/officeDocument/2006/relationships/control" Target="../activeX/activeX77.xml"/><Relationship Id="rId198" Type="http://schemas.openxmlformats.org/officeDocument/2006/relationships/control" Target="../activeX/activeX98.xml"/><Relationship Id="rId321" Type="http://schemas.openxmlformats.org/officeDocument/2006/relationships/image" Target="../media/image159.emf"/><Relationship Id="rId363" Type="http://schemas.openxmlformats.org/officeDocument/2006/relationships/image" Target="../media/image180.emf"/><Relationship Id="rId419" Type="http://schemas.openxmlformats.org/officeDocument/2006/relationships/image" Target="../media/image208.emf"/><Relationship Id="rId223" Type="http://schemas.openxmlformats.org/officeDocument/2006/relationships/image" Target="../media/image110.emf"/><Relationship Id="rId430" Type="http://schemas.openxmlformats.org/officeDocument/2006/relationships/control" Target="../activeX/activeX214.xml"/><Relationship Id="rId18" Type="http://schemas.openxmlformats.org/officeDocument/2006/relationships/control" Target="../activeX/activeX8.xml"/><Relationship Id="rId265" Type="http://schemas.openxmlformats.org/officeDocument/2006/relationships/image" Target="../media/image131.emf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image" Target="../media/image154.emf"/><Relationship Id="rId332" Type="http://schemas.openxmlformats.org/officeDocument/2006/relationships/control" Target="../activeX/activeX165.xml"/><Relationship Id="rId353" Type="http://schemas.openxmlformats.org/officeDocument/2006/relationships/image" Target="../media/image175.emf"/><Relationship Id="rId374" Type="http://schemas.openxmlformats.org/officeDocument/2006/relationships/control" Target="../activeX/activeX186.xml"/><Relationship Id="rId395" Type="http://schemas.openxmlformats.org/officeDocument/2006/relationships/image" Target="../media/image196.emf"/><Relationship Id="rId409" Type="http://schemas.openxmlformats.org/officeDocument/2006/relationships/image" Target="../media/image203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420" Type="http://schemas.openxmlformats.org/officeDocument/2006/relationships/control" Target="../activeX/activeX20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41" Type="http://schemas.openxmlformats.org/officeDocument/2006/relationships/ctrlProp" Target="../ctrlProps/ctrlProp2.xml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image" Target="../media/image149.emf"/><Relationship Id="rId322" Type="http://schemas.openxmlformats.org/officeDocument/2006/relationships/control" Target="../activeX/activeX160.xml"/><Relationship Id="rId343" Type="http://schemas.openxmlformats.org/officeDocument/2006/relationships/image" Target="../media/image170.emf"/><Relationship Id="rId364" Type="http://schemas.openxmlformats.org/officeDocument/2006/relationships/control" Target="../activeX/activeX181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385" Type="http://schemas.openxmlformats.org/officeDocument/2006/relationships/image" Target="../media/image191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410" Type="http://schemas.openxmlformats.org/officeDocument/2006/relationships/control" Target="../activeX/activeX204.xml"/><Relationship Id="rId431" Type="http://schemas.openxmlformats.org/officeDocument/2006/relationships/image" Target="../media/image214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ontrol" Target="../activeX/activeX155.xml"/><Relationship Id="rId333" Type="http://schemas.openxmlformats.org/officeDocument/2006/relationships/image" Target="../media/image165.emf"/><Relationship Id="rId354" Type="http://schemas.openxmlformats.org/officeDocument/2006/relationships/control" Target="../activeX/activeX176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75" Type="http://schemas.openxmlformats.org/officeDocument/2006/relationships/image" Target="../media/image186.emf"/><Relationship Id="rId396" Type="http://schemas.openxmlformats.org/officeDocument/2006/relationships/control" Target="../activeX/activeX197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ontrol" Target="../activeX/activeX148.xml"/><Relationship Id="rId400" Type="http://schemas.openxmlformats.org/officeDocument/2006/relationships/control" Target="../activeX/activeX199.xml"/><Relationship Id="rId421" Type="http://schemas.openxmlformats.org/officeDocument/2006/relationships/image" Target="../media/image209.emf"/><Relationship Id="rId442" Type="http://schemas.openxmlformats.org/officeDocument/2006/relationships/ctrlProp" Target="../ctrlProps/ctrlProp3.xml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302" Type="http://schemas.openxmlformats.org/officeDocument/2006/relationships/control" Target="../activeX/activeX150.xml"/><Relationship Id="rId323" Type="http://schemas.openxmlformats.org/officeDocument/2006/relationships/image" Target="../media/image160.emf"/><Relationship Id="rId344" Type="http://schemas.openxmlformats.org/officeDocument/2006/relationships/control" Target="../activeX/activeX17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365" Type="http://schemas.openxmlformats.org/officeDocument/2006/relationships/image" Target="../media/image181.emf"/><Relationship Id="rId386" Type="http://schemas.openxmlformats.org/officeDocument/2006/relationships/control" Target="../activeX/activeX192.xml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411" Type="http://schemas.openxmlformats.org/officeDocument/2006/relationships/image" Target="../media/image204.emf"/><Relationship Id="rId432" Type="http://schemas.openxmlformats.org/officeDocument/2006/relationships/control" Target="../activeX/activeX215.xml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313" Type="http://schemas.openxmlformats.org/officeDocument/2006/relationships/image" Target="../media/image155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334" Type="http://schemas.openxmlformats.org/officeDocument/2006/relationships/control" Target="../activeX/activeX166.xml"/><Relationship Id="rId355" Type="http://schemas.openxmlformats.org/officeDocument/2006/relationships/image" Target="../media/image176.emf"/><Relationship Id="rId376" Type="http://schemas.openxmlformats.org/officeDocument/2006/relationships/control" Target="../activeX/activeX187.xml"/><Relationship Id="rId397" Type="http://schemas.openxmlformats.org/officeDocument/2006/relationships/image" Target="../media/image197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401" Type="http://schemas.openxmlformats.org/officeDocument/2006/relationships/image" Target="../media/image199.emf"/><Relationship Id="rId422" Type="http://schemas.openxmlformats.org/officeDocument/2006/relationships/control" Target="../activeX/activeX210.xml"/><Relationship Id="rId443" Type="http://schemas.openxmlformats.org/officeDocument/2006/relationships/ctrlProp" Target="../ctrlProps/ctrlProp4.xml"/><Relationship Id="rId303" Type="http://schemas.openxmlformats.org/officeDocument/2006/relationships/image" Target="../media/image150.emf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345" Type="http://schemas.openxmlformats.org/officeDocument/2006/relationships/image" Target="../media/image171.emf"/><Relationship Id="rId387" Type="http://schemas.openxmlformats.org/officeDocument/2006/relationships/image" Target="../media/image192.emf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Relationship Id="rId412" Type="http://schemas.openxmlformats.org/officeDocument/2006/relationships/control" Target="../activeX/activeX205.xml"/><Relationship Id="rId107" Type="http://schemas.openxmlformats.org/officeDocument/2006/relationships/image" Target="../media/image52.emf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53" Type="http://schemas.openxmlformats.org/officeDocument/2006/relationships/image" Target="../media/image25.emf"/><Relationship Id="rId149" Type="http://schemas.openxmlformats.org/officeDocument/2006/relationships/image" Target="../media/image73.emf"/><Relationship Id="rId314" Type="http://schemas.openxmlformats.org/officeDocument/2006/relationships/control" Target="../activeX/activeX156.xml"/><Relationship Id="rId356" Type="http://schemas.openxmlformats.org/officeDocument/2006/relationships/control" Target="../activeX/activeX177.xml"/><Relationship Id="rId398" Type="http://schemas.openxmlformats.org/officeDocument/2006/relationships/control" Target="../activeX/activeX198.xml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16" Type="http://schemas.openxmlformats.org/officeDocument/2006/relationships/control" Target="../activeX/activeX107.xml"/><Relationship Id="rId423" Type="http://schemas.openxmlformats.org/officeDocument/2006/relationships/image" Target="../media/image210.emf"/><Relationship Id="rId258" Type="http://schemas.openxmlformats.org/officeDocument/2006/relationships/control" Target="../activeX/activeX128.xml"/><Relationship Id="rId22" Type="http://schemas.openxmlformats.org/officeDocument/2006/relationships/control" Target="../activeX/activeX10.xml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325" Type="http://schemas.openxmlformats.org/officeDocument/2006/relationships/image" Target="../media/image161.emf"/><Relationship Id="rId367" Type="http://schemas.openxmlformats.org/officeDocument/2006/relationships/image" Target="../media/image182.emf"/><Relationship Id="rId171" Type="http://schemas.openxmlformats.org/officeDocument/2006/relationships/image" Target="../media/image84.emf"/><Relationship Id="rId227" Type="http://schemas.openxmlformats.org/officeDocument/2006/relationships/image" Target="../media/image112.emf"/><Relationship Id="rId269" Type="http://schemas.openxmlformats.org/officeDocument/2006/relationships/image" Target="../media/image133.emf"/><Relationship Id="rId434" Type="http://schemas.openxmlformats.org/officeDocument/2006/relationships/control" Target="../activeX/activeX216.xml"/><Relationship Id="rId33" Type="http://schemas.openxmlformats.org/officeDocument/2006/relationships/image" Target="../media/image15.emf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36" Type="http://schemas.openxmlformats.org/officeDocument/2006/relationships/control" Target="../activeX/activeX167.xml"/><Relationship Id="rId75" Type="http://schemas.openxmlformats.org/officeDocument/2006/relationships/image" Target="../media/image36.emf"/><Relationship Id="rId140" Type="http://schemas.openxmlformats.org/officeDocument/2006/relationships/control" Target="../activeX/activeX69.xml"/><Relationship Id="rId182" Type="http://schemas.openxmlformats.org/officeDocument/2006/relationships/control" Target="../activeX/activeX90.xml"/><Relationship Id="rId378" Type="http://schemas.openxmlformats.org/officeDocument/2006/relationships/control" Target="../activeX/activeX188.xml"/><Relationship Id="rId403" Type="http://schemas.openxmlformats.org/officeDocument/2006/relationships/image" Target="../media/image200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445" Type="http://schemas.openxmlformats.org/officeDocument/2006/relationships/ctrlProp" Target="../ctrlProps/ctrlProp6.xml"/><Relationship Id="rId291" Type="http://schemas.openxmlformats.org/officeDocument/2006/relationships/image" Target="../media/image144.emf"/><Relationship Id="rId305" Type="http://schemas.openxmlformats.org/officeDocument/2006/relationships/image" Target="../media/image151.emf"/><Relationship Id="rId347" Type="http://schemas.openxmlformats.org/officeDocument/2006/relationships/image" Target="../media/image172.emf"/><Relationship Id="rId44" Type="http://schemas.openxmlformats.org/officeDocument/2006/relationships/control" Target="../activeX/activeX21.xml"/><Relationship Id="rId86" Type="http://schemas.openxmlformats.org/officeDocument/2006/relationships/control" Target="../activeX/activeX42.xml"/><Relationship Id="rId151" Type="http://schemas.openxmlformats.org/officeDocument/2006/relationships/image" Target="../media/image74.emf"/><Relationship Id="rId389" Type="http://schemas.openxmlformats.org/officeDocument/2006/relationships/image" Target="../media/image193.emf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49" Type="http://schemas.openxmlformats.org/officeDocument/2006/relationships/image" Target="../media/image123.emf"/><Relationship Id="rId414" Type="http://schemas.openxmlformats.org/officeDocument/2006/relationships/control" Target="../activeX/activeX206.xml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316" Type="http://schemas.openxmlformats.org/officeDocument/2006/relationships/control" Target="../activeX/activeX157.xml"/><Relationship Id="rId55" Type="http://schemas.openxmlformats.org/officeDocument/2006/relationships/image" Target="../media/image26.emf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358" Type="http://schemas.openxmlformats.org/officeDocument/2006/relationships/control" Target="../activeX/activeX178.xml"/><Relationship Id="rId162" Type="http://schemas.openxmlformats.org/officeDocument/2006/relationships/control" Target="../activeX/activeX80.xml"/><Relationship Id="rId218" Type="http://schemas.openxmlformats.org/officeDocument/2006/relationships/control" Target="../activeX/activeX108.xml"/><Relationship Id="rId425" Type="http://schemas.openxmlformats.org/officeDocument/2006/relationships/image" Target="../media/image211.emf"/><Relationship Id="rId271" Type="http://schemas.openxmlformats.org/officeDocument/2006/relationships/image" Target="../media/image134.emf"/><Relationship Id="rId24" Type="http://schemas.openxmlformats.org/officeDocument/2006/relationships/control" Target="../activeX/activeX11.xml"/><Relationship Id="rId66" Type="http://schemas.openxmlformats.org/officeDocument/2006/relationships/control" Target="../activeX/activeX32.xml"/><Relationship Id="rId131" Type="http://schemas.openxmlformats.org/officeDocument/2006/relationships/image" Target="../media/image64.emf"/><Relationship Id="rId327" Type="http://schemas.openxmlformats.org/officeDocument/2006/relationships/image" Target="../media/image162.emf"/><Relationship Id="rId369" Type="http://schemas.openxmlformats.org/officeDocument/2006/relationships/image" Target="../media/image183.emf"/><Relationship Id="rId173" Type="http://schemas.openxmlformats.org/officeDocument/2006/relationships/image" Target="../media/image85.emf"/><Relationship Id="rId229" Type="http://schemas.openxmlformats.org/officeDocument/2006/relationships/image" Target="../media/image113.emf"/><Relationship Id="rId380" Type="http://schemas.openxmlformats.org/officeDocument/2006/relationships/control" Target="../activeX/activeX189.xml"/><Relationship Id="rId436" Type="http://schemas.openxmlformats.org/officeDocument/2006/relationships/control" Target="../activeX/activeX217.xml"/><Relationship Id="rId240" Type="http://schemas.openxmlformats.org/officeDocument/2006/relationships/control" Target="../activeX/activeX119.xml"/><Relationship Id="rId35" Type="http://schemas.openxmlformats.org/officeDocument/2006/relationships/image" Target="../media/image16.emf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38" Type="http://schemas.openxmlformats.org/officeDocument/2006/relationships/control" Target="../activeX/activeX168.xml"/><Relationship Id="rId8" Type="http://schemas.openxmlformats.org/officeDocument/2006/relationships/control" Target="../activeX/activeX3.xml"/><Relationship Id="rId142" Type="http://schemas.openxmlformats.org/officeDocument/2006/relationships/control" Target="../activeX/activeX70.xml"/><Relationship Id="rId184" Type="http://schemas.openxmlformats.org/officeDocument/2006/relationships/control" Target="../activeX/activeX91.xml"/><Relationship Id="rId391" Type="http://schemas.openxmlformats.org/officeDocument/2006/relationships/image" Target="../media/image194.emf"/><Relationship Id="rId405" Type="http://schemas.openxmlformats.org/officeDocument/2006/relationships/image" Target="../media/image201.emf"/><Relationship Id="rId447" Type="http://schemas.openxmlformats.org/officeDocument/2006/relationships/ctrlProp" Target="../ctrlProps/ctrlProp8.xml"/><Relationship Id="rId251" Type="http://schemas.openxmlformats.org/officeDocument/2006/relationships/image" Target="../media/image124.emf"/><Relationship Id="rId46" Type="http://schemas.openxmlformats.org/officeDocument/2006/relationships/control" Target="../activeX/activeX22.xml"/><Relationship Id="rId293" Type="http://schemas.openxmlformats.org/officeDocument/2006/relationships/image" Target="../media/image145.emf"/><Relationship Id="rId307" Type="http://schemas.openxmlformats.org/officeDocument/2006/relationships/image" Target="../media/image152.emf"/><Relationship Id="rId349" Type="http://schemas.openxmlformats.org/officeDocument/2006/relationships/image" Target="../media/image173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53" Type="http://schemas.openxmlformats.org/officeDocument/2006/relationships/image" Target="../media/image75.emf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360" Type="http://schemas.openxmlformats.org/officeDocument/2006/relationships/control" Target="../activeX/activeX179.xml"/><Relationship Id="rId416" Type="http://schemas.openxmlformats.org/officeDocument/2006/relationships/control" Target="../activeX/activeX207.xml"/><Relationship Id="rId220" Type="http://schemas.openxmlformats.org/officeDocument/2006/relationships/control" Target="../activeX/activeX109.xml"/><Relationship Id="rId15" Type="http://schemas.openxmlformats.org/officeDocument/2006/relationships/image" Target="../media/image6.emf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318" Type="http://schemas.openxmlformats.org/officeDocument/2006/relationships/control" Target="../activeX/activeX158.xml"/><Relationship Id="rId99" Type="http://schemas.openxmlformats.org/officeDocument/2006/relationships/image" Target="../media/image48.emf"/><Relationship Id="rId122" Type="http://schemas.openxmlformats.org/officeDocument/2006/relationships/control" Target="../activeX/activeX60.xml"/><Relationship Id="rId164" Type="http://schemas.openxmlformats.org/officeDocument/2006/relationships/control" Target="../activeX/activeX81.xml"/><Relationship Id="rId371" Type="http://schemas.openxmlformats.org/officeDocument/2006/relationships/image" Target="../media/image184.emf"/><Relationship Id="rId427" Type="http://schemas.openxmlformats.org/officeDocument/2006/relationships/image" Target="../media/image212.emf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73" Type="http://schemas.openxmlformats.org/officeDocument/2006/relationships/image" Target="../media/image135.emf"/><Relationship Id="rId329" Type="http://schemas.openxmlformats.org/officeDocument/2006/relationships/image" Target="../media/image163.emf"/><Relationship Id="rId68" Type="http://schemas.openxmlformats.org/officeDocument/2006/relationships/control" Target="../activeX/activeX33.xml"/><Relationship Id="rId133" Type="http://schemas.openxmlformats.org/officeDocument/2006/relationships/image" Target="../media/image65.emf"/><Relationship Id="rId175" Type="http://schemas.openxmlformats.org/officeDocument/2006/relationships/image" Target="../media/image86.emf"/><Relationship Id="rId340" Type="http://schemas.openxmlformats.org/officeDocument/2006/relationships/control" Target="../activeX/activeX169.xml"/><Relationship Id="rId200" Type="http://schemas.openxmlformats.org/officeDocument/2006/relationships/control" Target="../activeX/activeX99.xml"/><Relationship Id="rId382" Type="http://schemas.openxmlformats.org/officeDocument/2006/relationships/control" Target="../activeX/activeX190.xml"/><Relationship Id="rId438" Type="http://schemas.openxmlformats.org/officeDocument/2006/relationships/control" Target="../activeX/activeX218.xml"/><Relationship Id="rId242" Type="http://schemas.openxmlformats.org/officeDocument/2006/relationships/control" Target="../activeX/activeX120.xml"/><Relationship Id="rId284" Type="http://schemas.openxmlformats.org/officeDocument/2006/relationships/control" Target="../activeX/activeX141.xml"/><Relationship Id="rId37" Type="http://schemas.openxmlformats.org/officeDocument/2006/relationships/image" Target="../media/image17.emf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Relationship Id="rId186" Type="http://schemas.openxmlformats.org/officeDocument/2006/relationships/control" Target="../activeX/activeX92.xml"/><Relationship Id="rId351" Type="http://schemas.openxmlformats.org/officeDocument/2006/relationships/image" Target="../media/image174.emf"/><Relationship Id="rId393" Type="http://schemas.openxmlformats.org/officeDocument/2006/relationships/image" Target="../media/image195.emf"/><Relationship Id="rId407" Type="http://schemas.openxmlformats.org/officeDocument/2006/relationships/image" Target="../media/image202.emf"/><Relationship Id="rId449" Type="http://schemas.openxmlformats.org/officeDocument/2006/relationships/ctrlProp" Target="../ctrlProps/ctrlProp10.xml"/><Relationship Id="rId211" Type="http://schemas.openxmlformats.org/officeDocument/2006/relationships/image" Target="../media/image104.emf"/><Relationship Id="rId253" Type="http://schemas.openxmlformats.org/officeDocument/2006/relationships/image" Target="../media/image125.emf"/><Relationship Id="rId295" Type="http://schemas.openxmlformats.org/officeDocument/2006/relationships/image" Target="../media/image146.emf"/><Relationship Id="rId309" Type="http://schemas.openxmlformats.org/officeDocument/2006/relationships/image" Target="../media/image153.emf"/><Relationship Id="rId48" Type="http://schemas.openxmlformats.org/officeDocument/2006/relationships/control" Target="../activeX/activeX23.xml"/><Relationship Id="rId113" Type="http://schemas.openxmlformats.org/officeDocument/2006/relationships/image" Target="../media/image55.emf"/><Relationship Id="rId320" Type="http://schemas.openxmlformats.org/officeDocument/2006/relationships/control" Target="../activeX/activeX159.xml"/><Relationship Id="rId155" Type="http://schemas.openxmlformats.org/officeDocument/2006/relationships/image" Target="../media/image76.emf"/><Relationship Id="rId197" Type="http://schemas.openxmlformats.org/officeDocument/2006/relationships/image" Target="../media/image97.emf"/><Relationship Id="rId362" Type="http://schemas.openxmlformats.org/officeDocument/2006/relationships/control" Target="../activeX/activeX180.xml"/><Relationship Id="rId418" Type="http://schemas.openxmlformats.org/officeDocument/2006/relationships/control" Target="../activeX/activeX208.xml"/><Relationship Id="rId222" Type="http://schemas.openxmlformats.org/officeDocument/2006/relationships/control" Target="../activeX/activeX110.xml"/><Relationship Id="rId264" Type="http://schemas.openxmlformats.org/officeDocument/2006/relationships/control" Target="../activeX/activeX131.xml"/><Relationship Id="rId17" Type="http://schemas.openxmlformats.org/officeDocument/2006/relationships/image" Target="../media/image7.emf"/><Relationship Id="rId59" Type="http://schemas.openxmlformats.org/officeDocument/2006/relationships/image" Target="../media/image28.emf"/><Relationship Id="rId124" Type="http://schemas.openxmlformats.org/officeDocument/2006/relationships/control" Target="../activeX/activeX61.xml"/><Relationship Id="rId70" Type="http://schemas.openxmlformats.org/officeDocument/2006/relationships/control" Target="../activeX/activeX34.xml"/><Relationship Id="rId166" Type="http://schemas.openxmlformats.org/officeDocument/2006/relationships/control" Target="../activeX/activeX82.xml"/><Relationship Id="rId331" Type="http://schemas.openxmlformats.org/officeDocument/2006/relationships/image" Target="../media/image164.emf"/><Relationship Id="rId373" Type="http://schemas.openxmlformats.org/officeDocument/2006/relationships/image" Target="../media/image185.emf"/><Relationship Id="rId429" Type="http://schemas.openxmlformats.org/officeDocument/2006/relationships/image" Target="../media/image213.emf"/><Relationship Id="rId1" Type="http://schemas.openxmlformats.org/officeDocument/2006/relationships/printerSettings" Target="../printerSettings/printerSettings1.bin"/><Relationship Id="rId233" Type="http://schemas.openxmlformats.org/officeDocument/2006/relationships/image" Target="../media/image115.emf"/><Relationship Id="rId440" Type="http://schemas.openxmlformats.org/officeDocument/2006/relationships/ctrlProp" Target="../ctrlProps/ctrlProp1.xml"/><Relationship Id="rId28" Type="http://schemas.openxmlformats.org/officeDocument/2006/relationships/control" Target="../activeX/activeX13.xml"/><Relationship Id="rId275" Type="http://schemas.openxmlformats.org/officeDocument/2006/relationships/image" Target="../media/image136.emf"/><Relationship Id="rId300" Type="http://schemas.openxmlformats.org/officeDocument/2006/relationships/control" Target="../activeX/activeX14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77" Type="http://schemas.openxmlformats.org/officeDocument/2006/relationships/image" Target="../media/image87.emf"/><Relationship Id="rId342" Type="http://schemas.openxmlformats.org/officeDocument/2006/relationships/control" Target="../activeX/activeX170.xml"/><Relationship Id="rId384" Type="http://schemas.openxmlformats.org/officeDocument/2006/relationships/control" Target="../activeX/activeX191.xml"/><Relationship Id="rId202" Type="http://schemas.openxmlformats.org/officeDocument/2006/relationships/control" Target="../activeX/activeX100.xml"/><Relationship Id="rId244" Type="http://schemas.openxmlformats.org/officeDocument/2006/relationships/control" Target="../activeX/activeX121.xml"/><Relationship Id="rId39" Type="http://schemas.openxmlformats.org/officeDocument/2006/relationships/image" Target="../media/image18.emf"/><Relationship Id="rId286" Type="http://schemas.openxmlformats.org/officeDocument/2006/relationships/control" Target="../activeX/activeX14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2"/>
  <sheetViews>
    <sheetView showGridLines="0" tabSelected="1" topLeftCell="K1" zoomScaleNormal="100" workbookViewId="0">
      <pane ySplit="2" topLeftCell="A22" activePane="bottomLeft" state="frozen"/>
      <selection pane="bottomLeft" activeCell="P36" sqref="P36"/>
    </sheetView>
  </sheetViews>
  <sheetFormatPr defaultRowHeight="15.6" x14ac:dyDescent="0.3"/>
  <cols>
    <col min="1" max="1" width="8.33203125" style="9" customWidth="1"/>
    <col min="2" max="2" width="11.33203125" customWidth="1"/>
    <col min="3" max="3" width="20" customWidth="1"/>
    <col min="4" max="4" width="20.33203125" customWidth="1"/>
    <col min="5" max="5" width="4.33203125" style="1" customWidth="1"/>
    <col min="6" max="6" width="21.6640625" style="14" customWidth="1"/>
    <col min="7" max="7" width="5.6640625" style="1" bestFit="1" customWidth="1"/>
    <col min="8" max="8" width="18.109375" style="1" customWidth="1"/>
    <col min="9" max="9" width="23.6640625" customWidth="1"/>
    <col min="10" max="10" width="8.88671875" customWidth="1"/>
    <col min="11" max="11" width="9.88671875" customWidth="1"/>
    <col min="12" max="12" width="8.6640625" style="1" customWidth="1"/>
    <col min="13" max="13" width="7.5546875" customWidth="1"/>
    <col min="14" max="14" width="11.33203125" customWidth="1"/>
    <col min="15" max="15" width="14.109375" customWidth="1"/>
    <col min="16" max="16" width="14.109375" style="1" customWidth="1"/>
    <col min="22" max="22" width="23" customWidth="1"/>
  </cols>
  <sheetData>
    <row r="1" spans="1:16" ht="30" customHeight="1" x14ac:dyDescent="0.3">
      <c r="B1" s="1"/>
      <c r="C1" s="1"/>
      <c r="D1" s="1"/>
      <c r="I1" s="1"/>
      <c r="J1" s="1"/>
      <c r="K1" s="1"/>
      <c r="M1" s="1"/>
    </row>
    <row r="2" spans="1:16" s="31" customFormat="1" ht="14.4" x14ac:dyDescent="0.3">
      <c r="A2" s="26" t="s">
        <v>0</v>
      </c>
      <c r="B2" s="27" t="s">
        <v>1</v>
      </c>
      <c r="C2" s="28" t="s">
        <v>2</v>
      </c>
      <c r="D2" s="26" t="s">
        <v>3</v>
      </c>
      <c r="E2" s="29" t="s">
        <v>373</v>
      </c>
      <c r="F2" s="30" t="s">
        <v>42</v>
      </c>
      <c r="G2" s="29" t="s">
        <v>374</v>
      </c>
      <c r="H2" s="29" t="s">
        <v>43</v>
      </c>
      <c r="I2" s="26" t="s">
        <v>5</v>
      </c>
      <c r="J2" s="26" t="s">
        <v>36</v>
      </c>
      <c r="K2" s="26" t="s">
        <v>6</v>
      </c>
      <c r="L2" s="29" t="s">
        <v>35</v>
      </c>
      <c r="M2" s="29" t="s">
        <v>7</v>
      </c>
      <c r="N2" s="29" t="s">
        <v>8</v>
      </c>
      <c r="O2" s="29" t="s">
        <v>9</v>
      </c>
      <c r="P2" s="101" t="s">
        <v>571</v>
      </c>
    </row>
    <row r="3" spans="1:16" x14ac:dyDescent="0.3">
      <c r="A3" s="9">
        <v>34</v>
      </c>
      <c r="B3" s="25" t="s">
        <v>147</v>
      </c>
      <c r="C3" s="7" t="s">
        <v>95</v>
      </c>
      <c r="D3" s="7" t="s">
        <v>96</v>
      </c>
      <c r="E3" s="7"/>
      <c r="F3" s="15" t="s">
        <v>97</v>
      </c>
      <c r="G3" s="10"/>
      <c r="H3" s="10"/>
      <c r="I3" s="10" t="s">
        <v>98</v>
      </c>
      <c r="M3" s="1"/>
    </row>
    <row r="4" spans="1:16" x14ac:dyDescent="0.3">
      <c r="A4" s="9">
        <v>1</v>
      </c>
      <c r="B4" s="25">
        <v>43318</v>
      </c>
      <c r="C4" s="7" t="s">
        <v>16</v>
      </c>
      <c r="D4" s="7" t="s">
        <v>156</v>
      </c>
      <c r="E4" s="7" t="s">
        <v>45</v>
      </c>
      <c r="F4" s="15" t="s">
        <v>169</v>
      </c>
      <c r="G4" s="10" t="s">
        <v>45</v>
      </c>
      <c r="H4" s="10" t="s">
        <v>46</v>
      </c>
      <c r="I4" s="10" t="s">
        <v>31</v>
      </c>
      <c r="J4" t="s">
        <v>37</v>
      </c>
      <c r="K4" t="s">
        <v>23</v>
      </c>
      <c r="L4" s="1" t="s">
        <v>46</v>
      </c>
      <c r="M4" s="11"/>
      <c r="N4" s="1" t="s">
        <v>46</v>
      </c>
      <c r="O4" t="s">
        <v>46</v>
      </c>
    </row>
    <row r="5" spans="1:16" x14ac:dyDescent="0.3">
      <c r="A5" s="9">
        <v>8</v>
      </c>
      <c r="B5" s="25">
        <v>43292</v>
      </c>
      <c r="C5" s="7" t="s">
        <v>49</v>
      </c>
      <c r="D5" s="7" t="s">
        <v>52</v>
      </c>
      <c r="E5" s="7"/>
      <c r="F5" s="15">
        <v>6</v>
      </c>
      <c r="G5" s="10"/>
      <c r="H5" s="10"/>
      <c r="I5" s="10"/>
      <c r="M5" s="12"/>
      <c r="N5" s="12"/>
    </row>
    <row r="6" spans="1:16" x14ac:dyDescent="0.3">
      <c r="A6" s="9">
        <v>9</v>
      </c>
      <c r="B6" s="25" t="s">
        <v>139</v>
      </c>
      <c r="C6" s="7" t="s">
        <v>49</v>
      </c>
      <c r="D6" s="7" t="s">
        <v>53</v>
      </c>
      <c r="E6" s="7"/>
      <c r="F6" s="15" t="s">
        <v>54</v>
      </c>
      <c r="G6" s="10"/>
      <c r="H6" s="10"/>
      <c r="I6" s="10" t="s">
        <v>55</v>
      </c>
      <c r="M6" s="12"/>
      <c r="N6" s="12"/>
    </row>
    <row r="7" spans="1:16" x14ac:dyDescent="0.3">
      <c r="A7" s="9">
        <v>7</v>
      </c>
      <c r="B7" s="25" t="s">
        <v>163</v>
      </c>
      <c r="C7" s="7" t="s">
        <v>49</v>
      </c>
      <c r="D7" s="7" t="s">
        <v>50</v>
      </c>
      <c r="E7" s="7"/>
      <c r="F7" s="15" t="s">
        <v>171</v>
      </c>
      <c r="G7" s="10"/>
      <c r="H7" s="10"/>
      <c r="I7" s="10" t="s">
        <v>51</v>
      </c>
      <c r="M7" s="12"/>
      <c r="N7" s="12"/>
    </row>
    <row r="8" spans="1:16" x14ac:dyDescent="0.3">
      <c r="A8" s="9">
        <v>10</v>
      </c>
      <c r="B8" s="25" t="s">
        <v>140</v>
      </c>
      <c r="C8" s="7" t="s">
        <v>49</v>
      </c>
      <c r="D8" s="7" t="s">
        <v>56</v>
      </c>
      <c r="E8" s="7"/>
      <c r="F8" s="15">
        <v>1</v>
      </c>
      <c r="G8" s="10"/>
      <c r="H8" s="10"/>
      <c r="I8" s="10" t="s">
        <v>57</v>
      </c>
      <c r="M8" s="12"/>
      <c r="N8" s="12"/>
    </row>
    <row r="9" spans="1:16" x14ac:dyDescent="0.3">
      <c r="A9" s="9">
        <v>4</v>
      </c>
      <c r="B9" s="25">
        <v>43318</v>
      </c>
      <c r="C9" s="7" t="s">
        <v>17</v>
      </c>
      <c r="D9" s="7" t="s">
        <v>157</v>
      </c>
      <c r="E9" s="7" t="s">
        <v>44</v>
      </c>
      <c r="F9" s="15" t="s">
        <v>172</v>
      </c>
      <c r="G9" s="10" t="s">
        <v>45</v>
      </c>
      <c r="H9" s="10" t="s">
        <v>46</v>
      </c>
      <c r="I9" s="10" t="s">
        <v>34</v>
      </c>
      <c r="J9" t="s">
        <v>37</v>
      </c>
      <c r="K9" t="s">
        <v>22</v>
      </c>
      <c r="L9" s="1" t="s">
        <v>46</v>
      </c>
      <c r="M9" s="12" t="s">
        <v>158</v>
      </c>
      <c r="N9" s="12" t="s">
        <v>159</v>
      </c>
      <c r="O9" t="s">
        <v>160</v>
      </c>
    </row>
    <row r="10" spans="1:16" x14ac:dyDescent="0.3">
      <c r="A10" s="9">
        <v>49</v>
      </c>
      <c r="B10" s="25" t="s">
        <v>155</v>
      </c>
      <c r="C10" s="7" t="s">
        <v>133</v>
      </c>
      <c r="D10" s="7" t="s">
        <v>134</v>
      </c>
      <c r="E10" s="7"/>
      <c r="F10" s="15" t="s">
        <v>135</v>
      </c>
      <c r="G10" s="10"/>
      <c r="H10" s="10"/>
      <c r="I10" s="10" t="s">
        <v>136</v>
      </c>
      <c r="M10" s="1"/>
      <c r="N10" s="1"/>
    </row>
    <row r="11" spans="1:16" x14ac:dyDescent="0.3">
      <c r="A11" s="9">
        <v>23</v>
      </c>
      <c r="B11" s="25" t="s">
        <v>145</v>
      </c>
      <c r="C11" s="7" t="s">
        <v>79</v>
      </c>
      <c r="D11" s="7" t="s">
        <v>80</v>
      </c>
      <c r="E11" s="7"/>
      <c r="F11" s="15" t="s">
        <v>81</v>
      </c>
      <c r="G11" s="10"/>
      <c r="H11" s="10"/>
      <c r="I11" s="10" t="s">
        <v>82</v>
      </c>
      <c r="M11" s="12"/>
      <c r="N11" s="12"/>
    </row>
    <row r="12" spans="1:16" x14ac:dyDescent="0.3">
      <c r="A12" s="9">
        <v>24</v>
      </c>
      <c r="B12" s="25" t="s">
        <v>145</v>
      </c>
      <c r="C12" s="7" t="s">
        <v>79</v>
      </c>
      <c r="D12" s="7" t="s">
        <v>83</v>
      </c>
      <c r="E12" s="7"/>
      <c r="F12" s="15" t="s">
        <v>84</v>
      </c>
      <c r="G12" s="10"/>
      <c r="H12" s="10"/>
      <c r="I12" s="10" t="s">
        <v>85</v>
      </c>
      <c r="M12" s="12"/>
      <c r="N12" s="12"/>
    </row>
    <row r="13" spans="1:16" x14ac:dyDescent="0.3">
      <c r="A13" s="9">
        <v>17</v>
      </c>
      <c r="B13" s="25">
        <v>43293</v>
      </c>
      <c r="C13" s="7" t="s">
        <v>58</v>
      </c>
      <c r="D13" s="7" t="s">
        <v>162</v>
      </c>
      <c r="E13" s="7"/>
      <c r="F13" s="15" t="s">
        <v>72</v>
      </c>
      <c r="G13" s="10"/>
      <c r="H13" s="10"/>
      <c r="I13" s="10" t="s">
        <v>48</v>
      </c>
      <c r="M13" s="12"/>
      <c r="N13" s="12"/>
    </row>
    <row r="14" spans="1:16" x14ac:dyDescent="0.3">
      <c r="A14" s="9">
        <v>12</v>
      </c>
      <c r="B14" s="25" t="s">
        <v>48</v>
      </c>
      <c r="C14" s="7" t="s">
        <v>58</v>
      </c>
      <c r="D14" s="7" t="s">
        <v>61</v>
      </c>
      <c r="E14" s="7"/>
      <c r="F14" s="15" t="s">
        <v>62</v>
      </c>
      <c r="G14" s="10"/>
      <c r="H14" s="10"/>
      <c r="I14" s="10"/>
      <c r="M14" s="12"/>
      <c r="N14" s="12"/>
    </row>
    <row r="15" spans="1:16" x14ac:dyDescent="0.3">
      <c r="A15" s="9">
        <v>11</v>
      </c>
      <c r="B15" s="25" t="s">
        <v>141</v>
      </c>
      <c r="C15" s="7" t="s">
        <v>58</v>
      </c>
      <c r="D15" s="7" t="s">
        <v>59</v>
      </c>
      <c r="E15" s="7"/>
      <c r="F15" s="15" t="s">
        <v>173</v>
      </c>
      <c r="G15" s="10"/>
      <c r="H15" s="10"/>
      <c r="I15" s="10" t="s">
        <v>60</v>
      </c>
      <c r="M15" s="12"/>
      <c r="N15" s="12"/>
    </row>
    <row r="16" spans="1:16" x14ac:dyDescent="0.3">
      <c r="A16" s="9">
        <v>35</v>
      </c>
      <c r="B16" s="25" t="s">
        <v>148</v>
      </c>
      <c r="C16" s="7" t="s">
        <v>58</v>
      </c>
      <c r="D16" s="7" t="s">
        <v>99</v>
      </c>
      <c r="E16" s="7"/>
      <c r="F16" s="15" t="s">
        <v>100</v>
      </c>
      <c r="G16" s="10"/>
      <c r="H16" s="10"/>
      <c r="I16" s="10" t="s">
        <v>101</v>
      </c>
      <c r="M16" s="1"/>
      <c r="N16" s="1"/>
    </row>
    <row r="17" spans="1:15" x14ac:dyDescent="0.3">
      <c r="A17" s="9">
        <v>5</v>
      </c>
      <c r="B17" s="25">
        <v>43318</v>
      </c>
      <c r="C17" s="7" t="s">
        <v>63</v>
      </c>
      <c r="D17" s="7" t="s">
        <v>161</v>
      </c>
      <c r="E17" s="7" t="s">
        <v>44</v>
      </c>
      <c r="F17" s="15" t="s">
        <v>170</v>
      </c>
      <c r="G17" s="10" t="s">
        <v>45</v>
      </c>
      <c r="H17" s="10" t="s">
        <v>46</v>
      </c>
      <c r="I17" s="10" t="s">
        <v>18</v>
      </c>
      <c r="J17" t="s">
        <v>37</v>
      </c>
      <c r="K17" t="s">
        <v>46</v>
      </c>
      <c r="L17" s="1" t="s">
        <v>21</v>
      </c>
      <c r="M17" s="11"/>
      <c r="N17" s="12" t="s">
        <v>46</v>
      </c>
      <c r="O17" t="s">
        <v>46</v>
      </c>
    </row>
    <row r="18" spans="1:15" x14ac:dyDescent="0.3">
      <c r="A18" s="9">
        <v>20</v>
      </c>
      <c r="B18" s="25" t="s">
        <v>143</v>
      </c>
      <c r="C18" s="7" t="s">
        <v>63</v>
      </c>
      <c r="D18" s="7" t="s">
        <v>73</v>
      </c>
      <c r="E18" s="7"/>
      <c r="F18" s="15" t="s">
        <v>48</v>
      </c>
      <c r="G18" s="10"/>
      <c r="H18" s="10"/>
      <c r="I18" s="10"/>
      <c r="M18" s="12"/>
      <c r="N18" s="12"/>
    </row>
    <row r="19" spans="1:15" x14ac:dyDescent="0.3">
      <c r="A19" s="9">
        <v>16</v>
      </c>
      <c r="B19" s="25" t="s">
        <v>142</v>
      </c>
      <c r="C19" s="7" t="s">
        <v>63</v>
      </c>
      <c r="D19" s="7" t="s">
        <v>70</v>
      </c>
      <c r="E19" s="7"/>
      <c r="F19" s="15">
        <v>3</v>
      </c>
      <c r="G19" s="10"/>
      <c r="H19" s="10"/>
      <c r="I19" s="10" t="s">
        <v>71</v>
      </c>
      <c r="M19" s="12"/>
      <c r="N19" s="12"/>
    </row>
    <row r="20" spans="1:15" x14ac:dyDescent="0.3">
      <c r="A20" s="9">
        <v>13</v>
      </c>
      <c r="B20" s="25" t="s">
        <v>375</v>
      </c>
      <c r="C20" s="7" t="s">
        <v>63</v>
      </c>
      <c r="D20" s="7" t="s">
        <v>64</v>
      </c>
      <c r="E20" s="7"/>
      <c r="F20" s="15" t="s">
        <v>65</v>
      </c>
      <c r="G20" s="10"/>
      <c r="H20" s="10"/>
      <c r="I20" s="10" t="s">
        <v>66</v>
      </c>
      <c r="M20" s="12"/>
      <c r="N20" s="12"/>
    </row>
    <row r="21" spans="1:15" x14ac:dyDescent="0.3">
      <c r="A21" s="9">
        <v>14</v>
      </c>
      <c r="B21" s="25" t="s">
        <v>137</v>
      </c>
      <c r="C21" s="7" t="s">
        <v>63</v>
      </c>
      <c r="D21" s="7" t="s">
        <v>67</v>
      </c>
      <c r="E21" s="7"/>
      <c r="F21" s="15" t="s">
        <v>68</v>
      </c>
      <c r="G21" s="10"/>
      <c r="H21" s="10"/>
      <c r="I21" s="10" t="s">
        <v>69</v>
      </c>
      <c r="M21" s="12"/>
      <c r="N21" s="12"/>
    </row>
    <row r="22" spans="1:15" x14ac:dyDescent="0.3">
      <c r="A22" s="9">
        <v>39</v>
      </c>
      <c r="B22" s="25" t="s">
        <v>151</v>
      </c>
      <c r="C22" s="7" t="s">
        <v>110</v>
      </c>
      <c r="D22" s="7" t="s">
        <v>111</v>
      </c>
      <c r="E22" s="7"/>
      <c r="F22" s="15" t="s">
        <v>112</v>
      </c>
      <c r="G22" s="10"/>
      <c r="H22" s="10"/>
      <c r="I22" s="10" t="s">
        <v>113</v>
      </c>
      <c r="M22" s="1"/>
      <c r="N22" s="1"/>
    </row>
    <row r="23" spans="1:15" x14ac:dyDescent="0.3">
      <c r="A23" s="9">
        <v>45</v>
      </c>
      <c r="B23" s="25">
        <v>43172</v>
      </c>
      <c r="C23" s="7" t="s">
        <v>124</v>
      </c>
      <c r="D23" s="7" t="s">
        <v>125</v>
      </c>
      <c r="E23" s="7"/>
      <c r="F23" s="15">
        <v>1</v>
      </c>
      <c r="G23" s="10"/>
      <c r="H23" s="10"/>
      <c r="I23" s="10" t="s">
        <v>126</v>
      </c>
      <c r="M23" s="1"/>
      <c r="N23" s="1"/>
    </row>
    <row r="24" spans="1:15" x14ac:dyDescent="0.3">
      <c r="A24" s="9">
        <v>26</v>
      </c>
      <c r="B24" s="25">
        <v>43292</v>
      </c>
      <c r="C24" s="7" t="s">
        <v>74</v>
      </c>
      <c r="D24" s="7" t="s">
        <v>86</v>
      </c>
      <c r="E24" s="7"/>
      <c r="F24" s="15" t="s">
        <v>87</v>
      </c>
      <c r="G24" s="10"/>
      <c r="H24" s="10"/>
      <c r="I24" s="10" t="s">
        <v>88</v>
      </c>
      <c r="M24" s="12"/>
      <c r="N24" s="12"/>
    </row>
    <row r="25" spans="1:15" x14ac:dyDescent="0.3">
      <c r="A25" s="9">
        <v>21</v>
      </c>
      <c r="B25" s="25" t="s">
        <v>144</v>
      </c>
      <c r="C25" s="7" t="s">
        <v>74</v>
      </c>
      <c r="D25" s="7" t="s">
        <v>75</v>
      </c>
      <c r="E25" s="7"/>
      <c r="F25" s="15" t="s">
        <v>76</v>
      </c>
      <c r="G25" s="10"/>
      <c r="H25" s="10"/>
      <c r="I25" s="10" t="s">
        <v>48</v>
      </c>
      <c r="M25" s="12"/>
      <c r="N25" s="12"/>
    </row>
    <row r="26" spans="1:15" x14ac:dyDescent="0.3">
      <c r="A26" s="9">
        <v>42</v>
      </c>
      <c r="B26" s="25" t="s">
        <v>153</v>
      </c>
      <c r="C26" s="7" t="s">
        <v>119</v>
      </c>
      <c r="D26" s="7" t="s">
        <v>120</v>
      </c>
      <c r="E26" s="7"/>
      <c r="F26" s="15">
        <v>1</v>
      </c>
      <c r="G26" s="10"/>
      <c r="H26" s="10"/>
      <c r="I26" s="10" t="s">
        <v>48</v>
      </c>
      <c r="M26" s="1"/>
      <c r="N26" s="1"/>
    </row>
    <row r="27" spans="1:15" x14ac:dyDescent="0.3">
      <c r="A27" s="9">
        <v>44</v>
      </c>
      <c r="B27" s="25" t="s">
        <v>48</v>
      </c>
      <c r="C27" s="7" t="s">
        <v>121</v>
      </c>
      <c r="D27" s="7" t="s">
        <v>122</v>
      </c>
      <c r="E27" s="7"/>
      <c r="F27" s="15" t="s">
        <v>48</v>
      </c>
      <c r="G27" s="10"/>
      <c r="H27" s="10"/>
      <c r="I27" s="10" t="s">
        <v>123</v>
      </c>
      <c r="M27" s="1"/>
      <c r="N27" s="1"/>
    </row>
    <row r="28" spans="1:15" x14ac:dyDescent="0.3">
      <c r="A28" s="9">
        <v>47</v>
      </c>
      <c r="B28" s="25" t="s">
        <v>154</v>
      </c>
      <c r="C28" s="7" t="s">
        <v>121</v>
      </c>
      <c r="D28" s="7" t="s">
        <v>131</v>
      </c>
      <c r="E28" s="7"/>
      <c r="F28" s="15"/>
      <c r="G28" s="10"/>
      <c r="H28" s="10"/>
      <c r="I28" s="10" t="s">
        <v>132</v>
      </c>
      <c r="M28" s="1"/>
      <c r="N28" s="1"/>
    </row>
    <row r="29" spans="1:15" x14ac:dyDescent="0.3">
      <c r="A29" s="9">
        <v>46</v>
      </c>
      <c r="B29" s="25" t="s">
        <v>141</v>
      </c>
      <c r="C29" s="7" t="s">
        <v>127</v>
      </c>
      <c r="D29" s="7" t="s">
        <v>128</v>
      </c>
      <c r="E29" s="7"/>
      <c r="F29" s="15" t="s">
        <v>129</v>
      </c>
      <c r="G29" s="10"/>
      <c r="H29" s="10"/>
      <c r="I29" s="10" t="s">
        <v>130</v>
      </c>
      <c r="M29" s="1"/>
      <c r="N29" s="1"/>
    </row>
    <row r="30" spans="1:15" x14ac:dyDescent="0.3">
      <c r="A30" s="9">
        <v>22</v>
      </c>
      <c r="B30" s="25" t="s">
        <v>145</v>
      </c>
      <c r="C30" s="7" t="s">
        <v>47</v>
      </c>
      <c r="D30" s="7" t="s">
        <v>77</v>
      </c>
      <c r="E30" s="7"/>
      <c r="F30" s="15" t="s">
        <v>48</v>
      </c>
      <c r="G30" s="10"/>
      <c r="H30" s="10"/>
      <c r="I30" s="10" t="s">
        <v>78</v>
      </c>
      <c r="M30" s="12"/>
      <c r="N30" s="12"/>
    </row>
    <row r="31" spans="1:15" x14ac:dyDescent="0.3">
      <c r="A31" s="9">
        <v>31</v>
      </c>
      <c r="B31" s="25" t="s">
        <v>146</v>
      </c>
      <c r="C31" s="7" t="s">
        <v>47</v>
      </c>
      <c r="D31" s="7" t="s">
        <v>89</v>
      </c>
      <c r="E31" s="7"/>
      <c r="F31" s="15" t="s">
        <v>48</v>
      </c>
      <c r="G31" s="10"/>
      <c r="H31" s="10"/>
      <c r="I31" s="10"/>
      <c r="M31" s="1"/>
      <c r="N31" s="1"/>
    </row>
    <row r="32" spans="1:15" x14ac:dyDescent="0.3">
      <c r="A32" s="9">
        <v>40</v>
      </c>
      <c r="B32" s="25" t="s">
        <v>140</v>
      </c>
      <c r="C32" s="7" t="s">
        <v>114</v>
      </c>
      <c r="D32" s="7" t="s">
        <v>115</v>
      </c>
      <c r="E32" s="7"/>
      <c r="F32" s="15" t="s">
        <v>116</v>
      </c>
      <c r="G32" s="10"/>
      <c r="H32" s="10"/>
      <c r="I32" s="10" t="s">
        <v>117</v>
      </c>
      <c r="M32" s="1"/>
      <c r="N32" s="1"/>
    </row>
    <row r="33" spans="1:16" x14ac:dyDescent="0.3">
      <c r="A33" s="9">
        <v>38</v>
      </c>
      <c r="B33" s="25" t="s">
        <v>138</v>
      </c>
      <c r="C33" s="7" t="s">
        <v>102</v>
      </c>
      <c r="D33" s="7" t="s">
        <v>108</v>
      </c>
      <c r="E33" s="7"/>
      <c r="F33" s="15">
        <v>1</v>
      </c>
      <c r="G33" s="10"/>
      <c r="H33" s="10"/>
      <c r="I33" s="10" t="s">
        <v>109</v>
      </c>
      <c r="M33" s="1"/>
      <c r="N33" s="1"/>
    </row>
    <row r="34" spans="1:16" x14ac:dyDescent="0.3">
      <c r="A34" s="9">
        <v>36</v>
      </c>
      <c r="B34" s="25" t="s">
        <v>149</v>
      </c>
      <c r="C34" s="7" t="s">
        <v>102</v>
      </c>
      <c r="D34" s="7" t="s">
        <v>103</v>
      </c>
      <c r="E34" s="7"/>
      <c r="F34" s="15" t="s">
        <v>104</v>
      </c>
      <c r="G34" s="10"/>
      <c r="H34" s="10"/>
      <c r="I34" s="10"/>
      <c r="M34" s="1"/>
      <c r="N34" s="1"/>
    </row>
    <row r="35" spans="1:16" x14ac:dyDescent="0.3">
      <c r="A35" s="9">
        <v>2</v>
      </c>
      <c r="B35" s="25">
        <v>43853</v>
      </c>
      <c r="C35" s="7" t="s">
        <v>15</v>
      </c>
      <c r="D35" s="7" t="s">
        <v>477</v>
      </c>
      <c r="E35" s="7" t="s">
        <v>45</v>
      </c>
      <c r="F35" s="15" t="s">
        <v>478</v>
      </c>
      <c r="G35" s="10" t="s">
        <v>45</v>
      </c>
      <c r="H35" s="10" t="s">
        <v>46</v>
      </c>
      <c r="I35" s="10" t="s">
        <v>18</v>
      </c>
      <c r="J35" t="s">
        <v>37</v>
      </c>
      <c r="K35" t="s">
        <v>46</v>
      </c>
      <c r="L35" s="1" t="s">
        <v>21</v>
      </c>
      <c r="M35" s="11"/>
      <c r="N35" s="1" t="s">
        <v>46</v>
      </c>
      <c r="O35" t="s">
        <v>479</v>
      </c>
    </row>
    <row r="36" spans="1:16" x14ac:dyDescent="0.3">
      <c r="A36" s="9">
        <v>3</v>
      </c>
      <c r="B36" s="25">
        <v>43863</v>
      </c>
      <c r="C36" s="7" t="s">
        <v>15</v>
      </c>
      <c r="D36" s="7" t="s">
        <v>495</v>
      </c>
      <c r="E36" s="7" t="s">
        <v>44</v>
      </c>
      <c r="F36" s="15" t="s">
        <v>496</v>
      </c>
      <c r="G36" s="10" t="s">
        <v>45</v>
      </c>
      <c r="H36" s="10" t="s">
        <v>46</v>
      </c>
      <c r="I36" s="10" t="s">
        <v>18</v>
      </c>
      <c r="J36" t="s">
        <v>39</v>
      </c>
      <c r="K36" t="s">
        <v>32</v>
      </c>
      <c r="L36" s="1" t="s">
        <v>21</v>
      </c>
      <c r="M36" s="12" t="s">
        <v>46</v>
      </c>
      <c r="N36" s="12" t="s">
        <v>497</v>
      </c>
      <c r="O36" t="s">
        <v>498</v>
      </c>
      <c r="P36" s="102"/>
    </row>
    <row r="37" spans="1:16" x14ac:dyDescent="0.3">
      <c r="A37" s="9">
        <v>41</v>
      </c>
      <c r="B37" s="25" t="s">
        <v>152</v>
      </c>
      <c r="C37" s="7" t="s">
        <v>14</v>
      </c>
      <c r="D37" s="7" t="s">
        <v>164</v>
      </c>
      <c r="E37" s="7"/>
      <c r="F37" s="15" t="s">
        <v>118</v>
      </c>
      <c r="G37" s="10"/>
      <c r="H37" s="10"/>
      <c r="I37" s="10" t="s">
        <v>48</v>
      </c>
      <c r="M37" s="1"/>
      <c r="N37" s="1"/>
    </row>
    <row r="38" spans="1:16" x14ac:dyDescent="0.3">
      <c r="A38" s="9">
        <v>37</v>
      </c>
      <c r="B38" s="25" t="s">
        <v>150</v>
      </c>
      <c r="C38" s="7" t="s">
        <v>14</v>
      </c>
      <c r="D38" s="7" t="s">
        <v>105</v>
      </c>
      <c r="E38" s="7"/>
      <c r="F38" s="15" t="s">
        <v>106</v>
      </c>
      <c r="G38" s="10"/>
      <c r="H38" s="10"/>
      <c r="I38" s="10" t="s">
        <v>107</v>
      </c>
      <c r="M38" s="1"/>
      <c r="N38" s="1"/>
    </row>
    <row r="39" spans="1:16" x14ac:dyDescent="0.3">
      <c r="A39" s="9">
        <v>32</v>
      </c>
      <c r="B39" s="25" t="s">
        <v>145</v>
      </c>
      <c r="C39" s="7" t="s">
        <v>14</v>
      </c>
      <c r="D39" s="7" t="s">
        <v>90</v>
      </c>
      <c r="E39" s="7"/>
      <c r="F39" s="15">
        <v>6</v>
      </c>
      <c r="G39" s="10"/>
      <c r="H39" s="10"/>
      <c r="I39" s="10" t="s">
        <v>91</v>
      </c>
      <c r="M39" s="1"/>
    </row>
    <row r="40" spans="1:16" x14ac:dyDescent="0.3">
      <c r="A40" s="9">
        <v>33</v>
      </c>
      <c r="B40" s="25" t="s">
        <v>145</v>
      </c>
      <c r="C40" s="7" t="s">
        <v>14</v>
      </c>
      <c r="D40" s="7" t="s">
        <v>92</v>
      </c>
      <c r="E40" s="7"/>
      <c r="F40" s="15" t="s">
        <v>93</v>
      </c>
      <c r="G40" s="10"/>
      <c r="H40" s="10"/>
      <c r="I40" s="10" t="s">
        <v>94</v>
      </c>
      <c r="M40" s="1"/>
      <c r="N40" s="1"/>
    </row>
    <row r="41" spans="1:16" x14ac:dyDescent="0.3">
      <c r="A41" s="9">
        <v>6</v>
      </c>
      <c r="B41" s="25"/>
      <c r="C41" s="7"/>
      <c r="D41" s="7"/>
      <c r="E41" s="7"/>
      <c r="F41" s="15"/>
      <c r="G41" s="10"/>
      <c r="H41" s="10"/>
      <c r="I41" s="10"/>
      <c r="M41" s="12"/>
      <c r="N41" s="12"/>
    </row>
    <row r="42" spans="1:16" x14ac:dyDescent="0.3">
      <c r="A42" s="9">
        <v>15</v>
      </c>
      <c r="B42" s="25"/>
      <c r="C42" s="7"/>
      <c r="D42" s="7"/>
      <c r="E42" s="7"/>
      <c r="F42" s="15"/>
      <c r="G42" s="10"/>
      <c r="H42" s="10"/>
      <c r="I42" s="10"/>
      <c r="M42" s="12"/>
      <c r="N42" s="12"/>
    </row>
    <row r="43" spans="1:16" x14ac:dyDescent="0.3">
      <c r="A43" s="9">
        <v>18</v>
      </c>
      <c r="B43" s="25"/>
      <c r="C43" s="7"/>
      <c r="D43" s="7"/>
      <c r="E43" s="7"/>
      <c r="F43" s="15"/>
      <c r="G43" s="10"/>
      <c r="H43" s="10"/>
      <c r="I43" s="10"/>
      <c r="M43" s="12"/>
      <c r="N43" s="12"/>
    </row>
    <row r="44" spans="1:16" x14ac:dyDescent="0.3">
      <c r="A44" s="9">
        <v>19</v>
      </c>
      <c r="B44" s="25"/>
      <c r="C44" s="7"/>
      <c r="D44" s="7"/>
      <c r="E44" s="7"/>
      <c r="F44" s="15"/>
      <c r="G44" s="10"/>
      <c r="H44" s="10"/>
      <c r="I44" s="10"/>
      <c r="M44" s="12"/>
      <c r="N44" s="12"/>
    </row>
    <row r="45" spans="1:16" x14ac:dyDescent="0.3">
      <c r="A45" s="9">
        <v>25</v>
      </c>
      <c r="B45" s="25"/>
      <c r="C45" s="7"/>
      <c r="D45" s="7"/>
      <c r="E45" s="7"/>
      <c r="F45" s="15"/>
      <c r="G45" s="10"/>
      <c r="H45" s="10"/>
      <c r="I45" s="10"/>
      <c r="M45" s="12"/>
      <c r="N45" s="12"/>
    </row>
    <row r="46" spans="1:16" x14ac:dyDescent="0.3">
      <c r="A46" s="9">
        <v>27</v>
      </c>
      <c r="B46" s="25"/>
      <c r="C46" s="7"/>
      <c r="D46" s="7"/>
      <c r="E46" s="7"/>
      <c r="F46" s="15"/>
      <c r="G46" s="10"/>
      <c r="H46" s="10"/>
      <c r="I46" s="10"/>
      <c r="M46" s="12"/>
      <c r="N46" s="12"/>
    </row>
    <row r="47" spans="1:16" x14ac:dyDescent="0.3">
      <c r="A47" s="9">
        <v>28</v>
      </c>
      <c r="B47" s="25"/>
      <c r="C47" s="7"/>
      <c r="D47" s="7"/>
      <c r="E47" s="7"/>
      <c r="F47" s="15"/>
      <c r="G47" s="10"/>
      <c r="H47" s="10"/>
      <c r="I47" s="10"/>
      <c r="M47" s="12"/>
      <c r="N47" s="12"/>
    </row>
    <row r="48" spans="1:16" x14ac:dyDescent="0.3">
      <c r="A48" s="9">
        <v>29</v>
      </c>
      <c r="B48" s="25"/>
      <c r="C48" s="7"/>
      <c r="D48" s="7"/>
      <c r="E48" s="7"/>
      <c r="F48" s="15"/>
      <c r="G48" s="10"/>
      <c r="H48" s="10"/>
      <c r="I48" s="10"/>
    </row>
    <row r="49" spans="1:9" x14ac:dyDescent="0.3">
      <c r="A49" s="9">
        <v>30</v>
      </c>
      <c r="B49" s="25"/>
      <c r="C49" s="7"/>
      <c r="D49" s="7"/>
      <c r="E49" s="7"/>
      <c r="F49" s="15"/>
      <c r="G49" s="10"/>
      <c r="H49" s="10"/>
      <c r="I49" s="10"/>
    </row>
    <row r="50" spans="1:9" x14ac:dyDescent="0.3">
      <c r="A50" s="9">
        <v>43</v>
      </c>
      <c r="B50" s="25"/>
      <c r="C50" s="7"/>
      <c r="D50" s="7"/>
      <c r="E50" s="7"/>
      <c r="F50" s="15"/>
      <c r="G50" s="10"/>
      <c r="H50" s="10"/>
      <c r="I50" s="10"/>
    </row>
    <row r="51" spans="1:9" x14ac:dyDescent="0.3">
      <c r="A51" s="9">
        <v>48</v>
      </c>
      <c r="B51" s="25"/>
      <c r="C51" s="7"/>
      <c r="D51" s="7"/>
      <c r="E51" s="7"/>
      <c r="F51" s="15"/>
      <c r="G51" s="10"/>
      <c r="H51" s="10"/>
      <c r="I51" s="10"/>
    </row>
    <row r="52" spans="1:9" x14ac:dyDescent="0.3">
      <c r="A52" s="9">
        <v>50</v>
      </c>
      <c r="B52" s="25"/>
      <c r="C52" s="7"/>
      <c r="D52" s="7"/>
      <c r="E52" s="7"/>
      <c r="F52" s="15"/>
      <c r="G52" s="10"/>
      <c r="H52" s="10"/>
      <c r="I52" s="10"/>
    </row>
    <row r="53" spans="1:9" x14ac:dyDescent="0.3">
      <c r="A53" s="9">
        <v>51</v>
      </c>
      <c r="B53" s="25"/>
      <c r="C53" s="7"/>
      <c r="D53" s="7"/>
      <c r="E53" s="7"/>
      <c r="F53" s="15"/>
      <c r="G53" s="10"/>
      <c r="H53" s="10"/>
      <c r="I53" s="10"/>
    </row>
    <row r="54" spans="1:9" x14ac:dyDescent="0.3">
      <c r="A54" s="9">
        <v>52</v>
      </c>
      <c r="B54" s="25"/>
      <c r="C54" s="7"/>
      <c r="D54" s="7"/>
      <c r="E54" s="7"/>
      <c r="F54" s="15"/>
      <c r="G54" s="10"/>
      <c r="H54" s="10"/>
      <c r="I54" s="10"/>
    </row>
    <row r="55" spans="1:9" x14ac:dyDescent="0.3">
      <c r="A55" s="9">
        <v>53</v>
      </c>
      <c r="B55" s="25"/>
      <c r="C55" s="7"/>
      <c r="D55" s="7"/>
      <c r="E55" s="7"/>
      <c r="F55" s="15"/>
      <c r="G55" s="10"/>
      <c r="H55" s="10"/>
      <c r="I55" s="10"/>
    </row>
    <row r="56" spans="1:9" x14ac:dyDescent="0.3">
      <c r="A56" s="9">
        <v>54</v>
      </c>
      <c r="B56" s="25"/>
      <c r="C56" s="7"/>
      <c r="D56" s="7"/>
      <c r="E56" s="7"/>
      <c r="F56" s="15"/>
      <c r="G56" s="10"/>
      <c r="H56" s="10"/>
      <c r="I56" s="10"/>
    </row>
    <row r="57" spans="1:9" x14ac:dyDescent="0.3">
      <c r="A57" s="9">
        <v>55</v>
      </c>
      <c r="B57" s="25"/>
      <c r="C57" s="7"/>
      <c r="D57" s="7"/>
      <c r="E57" s="7"/>
      <c r="F57" s="15"/>
      <c r="G57" s="10"/>
      <c r="H57" s="10"/>
      <c r="I57" s="10"/>
    </row>
    <row r="58" spans="1:9" x14ac:dyDescent="0.3">
      <c r="A58" s="9">
        <v>56</v>
      </c>
      <c r="B58" s="25"/>
      <c r="C58" s="7"/>
      <c r="D58" s="7"/>
      <c r="E58" s="7"/>
      <c r="F58" s="15"/>
      <c r="G58" s="10"/>
      <c r="H58" s="10"/>
      <c r="I58" s="10"/>
    </row>
    <row r="59" spans="1:9" x14ac:dyDescent="0.3">
      <c r="A59" s="9">
        <v>57</v>
      </c>
      <c r="B59" s="5"/>
      <c r="C59" s="7"/>
      <c r="D59" s="7"/>
      <c r="E59" s="7"/>
      <c r="F59" s="15"/>
      <c r="G59" s="10"/>
      <c r="H59" s="10"/>
      <c r="I59" s="10"/>
    </row>
    <row r="60" spans="1:9" x14ac:dyDescent="0.3">
      <c r="A60" s="9">
        <v>58</v>
      </c>
      <c r="B60" s="5"/>
      <c r="C60" s="7"/>
      <c r="D60" s="7"/>
      <c r="E60" s="7"/>
      <c r="F60" s="15"/>
      <c r="G60" s="10"/>
      <c r="H60" s="10"/>
      <c r="I60" s="10"/>
    </row>
    <row r="61" spans="1:9" x14ac:dyDescent="0.3">
      <c r="A61" s="9">
        <v>59</v>
      </c>
      <c r="B61" s="5"/>
      <c r="C61" s="7"/>
      <c r="D61" s="7"/>
      <c r="E61" s="7"/>
      <c r="F61" s="15"/>
      <c r="G61" s="10"/>
      <c r="H61" s="10"/>
      <c r="I61" s="10"/>
    </row>
    <row r="62" spans="1:9" x14ac:dyDescent="0.3">
      <c r="A62" s="9">
        <v>60</v>
      </c>
      <c r="B62" s="5"/>
      <c r="C62" s="7"/>
      <c r="D62" s="7"/>
      <c r="E62" s="7"/>
      <c r="F62" s="15"/>
      <c r="G62" s="10"/>
      <c r="H62" s="10"/>
      <c r="I62" s="10"/>
    </row>
    <row r="63" spans="1:9" x14ac:dyDescent="0.3">
      <c r="A63" s="9">
        <v>61</v>
      </c>
      <c r="B63" s="5"/>
      <c r="C63" s="7"/>
      <c r="D63" s="7"/>
      <c r="E63" s="7"/>
      <c r="F63" s="15"/>
      <c r="G63" s="10"/>
      <c r="H63" s="10"/>
      <c r="I63" s="10"/>
    </row>
    <row r="64" spans="1:9" x14ac:dyDescent="0.3">
      <c r="A64" s="9">
        <v>62</v>
      </c>
      <c r="B64" s="5"/>
      <c r="C64" s="7"/>
      <c r="D64" s="7"/>
      <c r="E64" s="7"/>
      <c r="F64" s="15"/>
      <c r="G64" s="10"/>
      <c r="H64" s="10"/>
      <c r="I64" s="10"/>
    </row>
    <row r="65" spans="1:9" x14ac:dyDescent="0.3">
      <c r="A65" s="9">
        <v>63</v>
      </c>
      <c r="B65" s="5"/>
      <c r="C65" s="7"/>
      <c r="D65" s="7"/>
      <c r="E65" s="7"/>
      <c r="F65" s="15"/>
      <c r="G65" s="10"/>
      <c r="H65" s="10"/>
      <c r="I65" s="10"/>
    </row>
    <row r="66" spans="1:9" x14ac:dyDescent="0.3">
      <c r="A66" s="9">
        <v>64</v>
      </c>
      <c r="B66" s="5"/>
      <c r="C66" s="7"/>
      <c r="D66" s="7"/>
      <c r="E66" s="7"/>
      <c r="F66" s="15"/>
      <c r="G66" s="10"/>
      <c r="H66" s="10"/>
      <c r="I66" s="10"/>
    </row>
    <row r="67" spans="1:9" x14ac:dyDescent="0.3">
      <c r="A67" s="9">
        <v>65</v>
      </c>
      <c r="B67" s="5"/>
      <c r="C67" s="7"/>
      <c r="D67" s="7"/>
      <c r="E67" s="7"/>
      <c r="F67" s="15"/>
      <c r="G67" s="10"/>
      <c r="H67" s="10"/>
      <c r="I67" s="10"/>
    </row>
    <row r="68" spans="1:9" x14ac:dyDescent="0.3">
      <c r="A68" s="9">
        <v>66</v>
      </c>
      <c r="B68" s="5"/>
      <c r="C68" s="7"/>
      <c r="D68" s="7"/>
      <c r="E68" s="7"/>
      <c r="F68" s="15"/>
      <c r="G68" s="10"/>
      <c r="H68" s="10"/>
      <c r="I68" s="10"/>
    </row>
    <row r="69" spans="1:9" x14ac:dyDescent="0.3">
      <c r="A69" s="9">
        <v>67</v>
      </c>
      <c r="B69" s="5"/>
      <c r="C69" s="7"/>
      <c r="D69" s="7"/>
      <c r="E69" s="7"/>
      <c r="F69" s="15"/>
      <c r="G69" s="10"/>
      <c r="H69" s="10"/>
      <c r="I69" s="10"/>
    </row>
    <row r="70" spans="1:9" x14ac:dyDescent="0.3">
      <c r="A70" s="9">
        <v>68</v>
      </c>
      <c r="B70" s="5"/>
      <c r="C70" s="7"/>
      <c r="D70" s="7"/>
      <c r="E70" s="7"/>
      <c r="F70" s="15"/>
      <c r="G70" s="10"/>
      <c r="H70" s="10"/>
      <c r="I70" s="10"/>
    </row>
    <row r="71" spans="1:9" x14ac:dyDescent="0.3">
      <c r="A71" s="9">
        <v>69</v>
      </c>
      <c r="B71" s="5"/>
      <c r="C71" s="7"/>
      <c r="D71" s="7"/>
      <c r="E71" s="7"/>
      <c r="F71" s="15"/>
      <c r="G71" s="10"/>
      <c r="H71" s="10"/>
      <c r="I71" s="10"/>
    </row>
    <row r="72" spans="1:9" x14ac:dyDescent="0.3">
      <c r="A72" s="9">
        <v>70</v>
      </c>
      <c r="B72" s="5"/>
      <c r="C72" s="7"/>
      <c r="D72" s="7"/>
      <c r="E72" s="7"/>
      <c r="F72" s="15"/>
      <c r="G72" s="10"/>
      <c r="H72" s="10"/>
      <c r="I72" s="10"/>
    </row>
    <row r="73" spans="1:9" x14ac:dyDescent="0.3">
      <c r="A73" s="9">
        <v>71</v>
      </c>
      <c r="B73" s="5"/>
      <c r="C73" s="7"/>
      <c r="D73" s="7"/>
      <c r="E73" s="7"/>
      <c r="F73" s="15"/>
      <c r="G73" s="10"/>
      <c r="H73" s="10"/>
      <c r="I73" s="10"/>
    </row>
    <row r="74" spans="1:9" x14ac:dyDescent="0.3">
      <c r="A74" s="9">
        <v>72</v>
      </c>
      <c r="B74" s="5"/>
      <c r="C74" s="7"/>
      <c r="D74" s="7"/>
      <c r="E74" s="7"/>
      <c r="F74" s="15"/>
      <c r="G74" s="10"/>
      <c r="H74" s="10"/>
      <c r="I74" s="10"/>
    </row>
    <row r="75" spans="1:9" x14ac:dyDescent="0.3">
      <c r="A75" s="9">
        <v>73</v>
      </c>
      <c r="B75" s="5"/>
      <c r="C75" s="7"/>
      <c r="D75" s="7"/>
      <c r="E75" s="7"/>
      <c r="F75" s="15"/>
      <c r="G75" s="10"/>
      <c r="H75" s="10"/>
      <c r="I75" s="10"/>
    </row>
    <row r="76" spans="1:9" x14ac:dyDescent="0.3">
      <c r="A76" s="9">
        <v>74</v>
      </c>
      <c r="B76" s="5"/>
      <c r="C76" s="7"/>
      <c r="D76" s="7"/>
      <c r="E76" s="7"/>
      <c r="F76" s="15"/>
      <c r="G76" s="10"/>
      <c r="H76" s="10"/>
      <c r="I76" s="10"/>
    </row>
    <row r="77" spans="1:9" x14ac:dyDescent="0.3">
      <c r="A77" s="9">
        <v>75</v>
      </c>
      <c r="B77" s="5"/>
      <c r="C77" s="7"/>
      <c r="D77" s="7"/>
      <c r="E77" s="7"/>
      <c r="F77" s="15"/>
      <c r="G77" s="10"/>
      <c r="H77" s="10"/>
      <c r="I77" s="10"/>
    </row>
    <row r="78" spans="1:9" x14ac:dyDescent="0.3">
      <c r="A78" s="9">
        <v>76</v>
      </c>
      <c r="B78" s="5"/>
      <c r="C78" s="7"/>
      <c r="D78" s="7"/>
      <c r="E78" s="7"/>
      <c r="F78" s="15"/>
      <c r="G78" s="10"/>
      <c r="H78" s="10"/>
      <c r="I78" s="10"/>
    </row>
    <row r="79" spans="1:9" x14ac:dyDescent="0.3">
      <c r="A79" s="9">
        <v>77</v>
      </c>
      <c r="B79" s="5"/>
      <c r="C79" s="7"/>
      <c r="D79" s="7"/>
      <c r="E79" s="7"/>
      <c r="F79" s="15"/>
      <c r="G79" s="10"/>
      <c r="H79" s="10"/>
      <c r="I79" s="10"/>
    </row>
    <row r="80" spans="1:9" x14ac:dyDescent="0.3">
      <c r="A80" s="9">
        <v>78</v>
      </c>
      <c r="B80" s="5"/>
      <c r="C80" s="7"/>
      <c r="D80" s="7"/>
      <c r="E80" s="7"/>
      <c r="F80" s="15"/>
      <c r="G80" s="10"/>
      <c r="H80" s="10"/>
      <c r="I80" s="10"/>
    </row>
    <row r="81" spans="1:9" x14ac:dyDescent="0.3">
      <c r="A81" s="9">
        <v>79</v>
      </c>
      <c r="B81" s="5"/>
      <c r="C81" s="7"/>
      <c r="D81" s="7"/>
      <c r="E81" s="7"/>
      <c r="F81" s="15"/>
      <c r="G81" s="10"/>
      <c r="H81" s="10"/>
      <c r="I81" s="10"/>
    </row>
    <row r="82" spans="1:9" x14ac:dyDescent="0.3">
      <c r="A82" s="9">
        <v>80</v>
      </c>
      <c r="B82" s="5"/>
      <c r="C82" s="7"/>
      <c r="D82" s="7"/>
      <c r="E82" s="7"/>
      <c r="F82" s="15"/>
      <c r="G82" s="10"/>
      <c r="H82" s="10"/>
      <c r="I82" s="10"/>
    </row>
    <row r="83" spans="1:9" x14ac:dyDescent="0.3">
      <c r="A83" s="9">
        <v>81</v>
      </c>
      <c r="B83" s="5"/>
    </row>
    <row r="84" spans="1:9" x14ac:dyDescent="0.3">
      <c r="A84" s="9">
        <v>82</v>
      </c>
      <c r="B84" s="5"/>
    </row>
    <row r="85" spans="1:9" x14ac:dyDescent="0.3">
      <c r="A85" s="9">
        <v>83</v>
      </c>
      <c r="B85" s="5"/>
    </row>
    <row r="86" spans="1:9" x14ac:dyDescent="0.3">
      <c r="A86" s="9">
        <v>84</v>
      </c>
      <c r="B86" s="5"/>
    </row>
    <row r="87" spans="1:9" x14ac:dyDescent="0.3">
      <c r="A87" s="9">
        <v>85</v>
      </c>
      <c r="B87" s="5"/>
    </row>
    <row r="88" spans="1:9" x14ac:dyDescent="0.3">
      <c r="A88" s="9">
        <v>86</v>
      </c>
      <c r="B88" s="5"/>
    </row>
    <row r="89" spans="1:9" x14ac:dyDescent="0.3">
      <c r="A89" s="9">
        <v>87</v>
      </c>
      <c r="B89" s="5"/>
    </row>
    <row r="90" spans="1:9" x14ac:dyDescent="0.3">
      <c r="A90" s="9">
        <v>88</v>
      </c>
      <c r="B90" s="5"/>
    </row>
    <row r="91" spans="1:9" x14ac:dyDescent="0.3">
      <c r="A91" s="9">
        <v>89</v>
      </c>
      <c r="B91" s="5"/>
    </row>
    <row r="92" spans="1:9" x14ac:dyDescent="0.3">
      <c r="A92" s="9">
        <v>90</v>
      </c>
      <c r="B92" s="5"/>
    </row>
    <row r="93" spans="1:9" x14ac:dyDescent="0.3">
      <c r="A93" s="9">
        <v>91</v>
      </c>
      <c r="B93" s="5"/>
    </row>
    <row r="94" spans="1:9" x14ac:dyDescent="0.3">
      <c r="A94" s="9">
        <v>92</v>
      </c>
      <c r="B94" s="5"/>
    </row>
    <row r="95" spans="1:9" x14ac:dyDescent="0.3">
      <c r="A95" s="9">
        <v>93</v>
      </c>
      <c r="B95" s="5"/>
    </row>
    <row r="96" spans="1:9" x14ac:dyDescent="0.3">
      <c r="A96" s="9">
        <v>94</v>
      </c>
      <c r="B96" s="5"/>
    </row>
    <row r="97" spans="1:2" x14ac:dyDescent="0.3">
      <c r="A97" s="9">
        <v>95</v>
      </c>
      <c r="B97" s="5"/>
    </row>
    <row r="98" spans="1:2" x14ac:dyDescent="0.3">
      <c r="A98" s="9">
        <v>96</v>
      </c>
      <c r="B98" s="5"/>
    </row>
    <row r="99" spans="1:2" x14ac:dyDescent="0.3">
      <c r="A99" s="9">
        <v>97</v>
      </c>
      <c r="B99" s="5"/>
    </row>
    <row r="100" spans="1:2" x14ac:dyDescent="0.3">
      <c r="A100" s="9">
        <v>98</v>
      </c>
      <c r="B100" s="5"/>
    </row>
    <row r="101" spans="1:2" x14ac:dyDescent="0.3">
      <c r="A101" s="9">
        <v>99</v>
      </c>
      <c r="B101" s="5"/>
    </row>
    <row r="102" spans="1:2" x14ac:dyDescent="0.3">
      <c r="A102" s="9">
        <v>100</v>
      </c>
      <c r="B102" s="5"/>
    </row>
    <row r="103" spans="1:2" x14ac:dyDescent="0.3">
      <c r="A103" s="9">
        <v>101</v>
      </c>
      <c r="B103" s="5"/>
    </row>
    <row r="104" spans="1:2" x14ac:dyDescent="0.3">
      <c r="A104" s="9">
        <v>102</v>
      </c>
      <c r="B104" s="5"/>
    </row>
    <row r="105" spans="1:2" x14ac:dyDescent="0.3">
      <c r="A105" s="9">
        <v>103</v>
      </c>
      <c r="B105" s="5"/>
    </row>
    <row r="106" spans="1:2" x14ac:dyDescent="0.3">
      <c r="A106" s="9">
        <v>104</v>
      </c>
      <c r="B106" s="5"/>
    </row>
    <row r="107" spans="1:2" x14ac:dyDescent="0.3">
      <c r="A107" s="9">
        <v>105</v>
      </c>
      <c r="B107" s="5"/>
    </row>
    <row r="108" spans="1:2" x14ac:dyDescent="0.3">
      <c r="A108" s="9">
        <v>106</v>
      </c>
      <c r="B108" s="5"/>
    </row>
    <row r="109" spans="1:2" x14ac:dyDescent="0.3">
      <c r="A109" s="9">
        <v>107</v>
      </c>
      <c r="B109" s="5"/>
    </row>
    <row r="110" spans="1:2" x14ac:dyDescent="0.3">
      <c r="A110" s="9">
        <v>108</v>
      </c>
      <c r="B110" s="5"/>
    </row>
    <row r="111" spans="1:2" x14ac:dyDescent="0.3">
      <c r="A111" s="9">
        <v>109</v>
      </c>
      <c r="B111" s="5"/>
    </row>
    <row r="112" spans="1:2" x14ac:dyDescent="0.3">
      <c r="A112" s="9">
        <v>110</v>
      </c>
      <c r="B112" s="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10" r:id="rId4" name="CheckBox284">
          <controlPr autoLine="0" r:id="rId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10" r:id="rId4" name="CheckBox284"/>
      </mc:Fallback>
    </mc:AlternateContent>
    <mc:AlternateContent xmlns:mc="http://schemas.openxmlformats.org/markup-compatibility/2006">
      <mc:Choice Requires="x14">
        <control shapeId="1309" r:id="rId6" name="CheckBox283">
          <controlPr autoLine="0" r:id="rId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9" r:id="rId6" name="CheckBox283"/>
      </mc:Fallback>
    </mc:AlternateContent>
    <mc:AlternateContent xmlns:mc="http://schemas.openxmlformats.org/markup-compatibility/2006">
      <mc:Choice Requires="x14">
        <control shapeId="1308" r:id="rId8" name="CheckBox282">
          <controlPr autoLine="0" r:id="rId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8" r:id="rId8" name="CheckBox282"/>
      </mc:Fallback>
    </mc:AlternateContent>
    <mc:AlternateContent xmlns:mc="http://schemas.openxmlformats.org/markup-compatibility/2006">
      <mc:Choice Requires="x14">
        <control shapeId="1307" r:id="rId10" name="CheckBox281">
          <controlPr autoLine="0" r:id="rId1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7" r:id="rId10" name="CheckBox281"/>
      </mc:Fallback>
    </mc:AlternateContent>
    <mc:AlternateContent xmlns:mc="http://schemas.openxmlformats.org/markup-compatibility/2006">
      <mc:Choice Requires="x14">
        <control shapeId="1306" r:id="rId12" name="CheckBox280">
          <controlPr autoLine="0" r:id="rId1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6" r:id="rId12" name="CheckBox280"/>
      </mc:Fallback>
    </mc:AlternateContent>
    <mc:AlternateContent xmlns:mc="http://schemas.openxmlformats.org/markup-compatibility/2006">
      <mc:Choice Requires="x14">
        <control shapeId="1305" r:id="rId14" name="CheckBox279">
          <controlPr autoLine="0" r:id="rId1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5" r:id="rId14" name="CheckBox279"/>
      </mc:Fallback>
    </mc:AlternateContent>
    <mc:AlternateContent xmlns:mc="http://schemas.openxmlformats.org/markup-compatibility/2006">
      <mc:Choice Requires="x14">
        <control shapeId="1304" r:id="rId16" name="CheckBox278">
          <controlPr autoLine="0" r:id="rId1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4" r:id="rId16" name="CheckBox278"/>
      </mc:Fallback>
    </mc:AlternateContent>
    <mc:AlternateContent xmlns:mc="http://schemas.openxmlformats.org/markup-compatibility/2006">
      <mc:Choice Requires="x14">
        <control shapeId="1303" r:id="rId18" name="CheckBox277">
          <controlPr autoLine="0" r:id="rId1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3" r:id="rId18" name="CheckBox277"/>
      </mc:Fallback>
    </mc:AlternateContent>
    <mc:AlternateContent xmlns:mc="http://schemas.openxmlformats.org/markup-compatibility/2006">
      <mc:Choice Requires="x14">
        <control shapeId="1302" r:id="rId20" name="CheckBox276">
          <controlPr autoLine="0" r:id="rId2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2" r:id="rId20" name="CheckBox276"/>
      </mc:Fallback>
    </mc:AlternateContent>
    <mc:AlternateContent xmlns:mc="http://schemas.openxmlformats.org/markup-compatibility/2006">
      <mc:Choice Requires="x14">
        <control shapeId="1301" r:id="rId22" name="CheckBox275">
          <controlPr autoLine="0" r:id="rId2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1" r:id="rId22" name="CheckBox275"/>
      </mc:Fallback>
    </mc:AlternateContent>
    <mc:AlternateContent xmlns:mc="http://schemas.openxmlformats.org/markup-compatibility/2006">
      <mc:Choice Requires="x14">
        <control shapeId="1300" r:id="rId24" name="CheckBox274">
          <controlPr autoLine="0" r:id="rId2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300" r:id="rId24" name="CheckBox274"/>
      </mc:Fallback>
    </mc:AlternateContent>
    <mc:AlternateContent xmlns:mc="http://schemas.openxmlformats.org/markup-compatibility/2006">
      <mc:Choice Requires="x14">
        <control shapeId="1299" r:id="rId26" name="CheckBox273">
          <controlPr autoLine="0" r:id="rId2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9" r:id="rId26" name="CheckBox273"/>
      </mc:Fallback>
    </mc:AlternateContent>
    <mc:AlternateContent xmlns:mc="http://schemas.openxmlformats.org/markup-compatibility/2006">
      <mc:Choice Requires="x14">
        <control shapeId="1298" r:id="rId28" name="CheckBox272">
          <controlPr autoLine="0" r:id="rId2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8" r:id="rId28" name="CheckBox272"/>
      </mc:Fallback>
    </mc:AlternateContent>
    <mc:AlternateContent xmlns:mc="http://schemas.openxmlformats.org/markup-compatibility/2006">
      <mc:Choice Requires="x14">
        <control shapeId="1297" r:id="rId30" name="CheckBox271">
          <controlPr autoLine="0" r:id="rId3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7" r:id="rId30" name="CheckBox271"/>
      </mc:Fallback>
    </mc:AlternateContent>
    <mc:AlternateContent xmlns:mc="http://schemas.openxmlformats.org/markup-compatibility/2006">
      <mc:Choice Requires="x14">
        <control shapeId="1296" r:id="rId32" name="CheckBox270">
          <controlPr autoLine="0" r:id="rId3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6" r:id="rId32" name="CheckBox270"/>
      </mc:Fallback>
    </mc:AlternateContent>
    <mc:AlternateContent xmlns:mc="http://schemas.openxmlformats.org/markup-compatibility/2006">
      <mc:Choice Requires="x14">
        <control shapeId="1295" r:id="rId34" name="CheckBox269">
          <controlPr autoLine="0" r:id="rId3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5" r:id="rId34" name="CheckBox269"/>
      </mc:Fallback>
    </mc:AlternateContent>
    <mc:AlternateContent xmlns:mc="http://schemas.openxmlformats.org/markup-compatibility/2006">
      <mc:Choice Requires="x14">
        <control shapeId="1294" r:id="rId36" name="CheckBox268">
          <controlPr autoLine="0" r:id="rId3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4" r:id="rId36" name="CheckBox268"/>
      </mc:Fallback>
    </mc:AlternateContent>
    <mc:AlternateContent xmlns:mc="http://schemas.openxmlformats.org/markup-compatibility/2006">
      <mc:Choice Requires="x14">
        <control shapeId="1293" r:id="rId38" name="CheckBox267">
          <controlPr autoLine="0" r:id="rId3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3" r:id="rId38" name="CheckBox267"/>
      </mc:Fallback>
    </mc:AlternateContent>
    <mc:AlternateContent xmlns:mc="http://schemas.openxmlformats.org/markup-compatibility/2006">
      <mc:Choice Requires="x14">
        <control shapeId="1292" r:id="rId40" name="CheckBox266">
          <controlPr autoLine="0" r:id="rId4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2" r:id="rId40" name="CheckBox266"/>
      </mc:Fallback>
    </mc:AlternateContent>
    <mc:AlternateContent xmlns:mc="http://schemas.openxmlformats.org/markup-compatibility/2006">
      <mc:Choice Requires="x14">
        <control shapeId="1291" r:id="rId42" name="CheckBox265">
          <controlPr autoLine="0" r:id="rId4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1" r:id="rId42" name="CheckBox265"/>
      </mc:Fallback>
    </mc:AlternateContent>
    <mc:AlternateContent xmlns:mc="http://schemas.openxmlformats.org/markup-compatibility/2006">
      <mc:Choice Requires="x14">
        <control shapeId="1290" r:id="rId44" name="CheckBox264">
          <controlPr autoLine="0" r:id="rId4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90" r:id="rId44" name="CheckBox264"/>
      </mc:Fallback>
    </mc:AlternateContent>
    <mc:AlternateContent xmlns:mc="http://schemas.openxmlformats.org/markup-compatibility/2006">
      <mc:Choice Requires="x14">
        <control shapeId="1289" r:id="rId46" name="CheckBox263">
          <controlPr autoLine="0" r:id="rId4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9" r:id="rId46" name="CheckBox263"/>
      </mc:Fallback>
    </mc:AlternateContent>
    <mc:AlternateContent xmlns:mc="http://schemas.openxmlformats.org/markup-compatibility/2006">
      <mc:Choice Requires="x14">
        <control shapeId="1288" r:id="rId48" name="CheckBox262">
          <controlPr autoLine="0" r:id="rId4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8" r:id="rId48" name="CheckBox262"/>
      </mc:Fallback>
    </mc:AlternateContent>
    <mc:AlternateContent xmlns:mc="http://schemas.openxmlformats.org/markup-compatibility/2006">
      <mc:Choice Requires="x14">
        <control shapeId="1287" r:id="rId50" name="CheckBox261">
          <controlPr autoLine="0" r:id="rId5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7" r:id="rId50" name="CheckBox261"/>
      </mc:Fallback>
    </mc:AlternateContent>
    <mc:AlternateContent xmlns:mc="http://schemas.openxmlformats.org/markup-compatibility/2006">
      <mc:Choice Requires="x14">
        <control shapeId="1286" r:id="rId52" name="CheckBox260">
          <controlPr autoLine="0" r:id="rId5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6" r:id="rId52" name="CheckBox260"/>
      </mc:Fallback>
    </mc:AlternateContent>
    <mc:AlternateContent xmlns:mc="http://schemas.openxmlformats.org/markup-compatibility/2006">
      <mc:Choice Requires="x14">
        <control shapeId="1285" r:id="rId54" name="CheckBox259">
          <controlPr autoLine="0" r:id="rId5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5" r:id="rId54" name="CheckBox259"/>
      </mc:Fallback>
    </mc:AlternateContent>
    <mc:AlternateContent xmlns:mc="http://schemas.openxmlformats.org/markup-compatibility/2006">
      <mc:Choice Requires="x14">
        <control shapeId="1284" r:id="rId56" name="CheckBox258">
          <controlPr autoLine="0" r:id="rId5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4" r:id="rId56" name="CheckBox258"/>
      </mc:Fallback>
    </mc:AlternateContent>
    <mc:AlternateContent xmlns:mc="http://schemas.openxmlformats.org/markup-compatibility/2006">
      <mc:Choice Requires="x14">
        <control shapeId="1283" r:id="rId58" name="CheckBox257">
          <controlPr autoLine="0" r:id="rId5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3" r:id="rId58" name="CheckBox257"/>
      </mc:Fallback>
    </mc:AlternateContent>
    <mc:AlternateContent xmlns:mc="http://schemas.openxmlformats.org/markup-compatibility/2006">
      <mc:Choice Requires="x14">
        <control shapeId="1282" r:id="rId60" name="CheckBox256">
          <controlPr autoLine="0" r:id="rId6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2" r:id="rId60" name="CheckBox256"/>
      </mc:Fallback>
    </mc:AlternateContent>
    <mc:AlternateContent xmlns:mc="http://schemas.openxmlformats.org/markup-compatibility/2006">
      <mc:Choice Requires="x14">
        <control shapeId="1281" r:id="rId62" name="CheckBox255">
          <controlPr autoLine="0" r:id="rId6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1" r:id="rId62" name="CheckBox255"/>
      </mc:Fallback>
    </mc:AlternateContent>
    <mc:AlternateContent xmlns:mc="http://schemas.openxmlformats.org/markup-compatibility/2006">
      <mc:Choice Requires="x14">
        <control shapeId="1280" r:id="rId64" name="CheckBox254">
          <controlPr autoLine="0" r:id="rId6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80" r:id="rId64" name="CheckBox254"/>
      </mc:Fallback>
    </mc:AlternateContent>
    <mc:AlternateContent xmlns:mc="http://schemas.openxmlformats.org/markup-compatibility/2006">
      <mc:Choice Requires="x14">
        <control shapeId="1279" r:id="rId66" name="CheckBox253">
          <controlPr autoLine="0" r:id="rId6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9" r:id="rId66" name="CheckBox253"/>
      </mc:Fallback>
    </mc:AlternateContent>
    <mc:AlternateContent xmlns:mc="http://schemas.openxmlformats.org/markup-compatibility/2006">
      <mc:Choice Requires="x14">
        <control shapeId="1278" r:id="rId68" name="CheckBox252">
          <controlPr autoLine="0" r:id="rId6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8" r:id="rId68" name="CheckBox252"/>
      </mc:Fallback>
    </mc:AlternateContent>
    <mc:AlternateContent xmlns:mc="http://schemas.openxmlformats.org/markup-compatibility/2006">
      <mc:Choice Requires="x14">
        <control shapeId="1277" r:id="rId70" name="CheckBox251">
          <controlPr autoLine="0" r:id="rId7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7" r:id="rId70" name="CheckBox251"/>
      </mc:Fallback>
    </mc:AlternateContent>
    <mc:AlternateContent xmlns:mc="http://schemas.openxmlformats.org/markup-compatibility/2006">
      <mc:Choice Requires="x14">
        <control shapeId="1276" r:id="rId72" name="CheckBox250">
          <controlPr autoLine="0" r:id="rId7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6" r:id="rId72" name="CheckBox250"/>
      </mc:Fallback>
    </mc:AlternateContent>
    <mc:AlternateContent xmlns:mc="http://schemas.openxmlformats.org/markup-compatibility/2006">
      <mc:Choice Requires="x14">
        <control shapeId="1275" r:id="rId74" name="CheckBox249">
          <controlPr autoLine="0" r:id="rId7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5" r:id="rId74" name="CheckBox249"/>
      </mc:Fallback>
    </mc:AlternateContent>
    <mc:AlternateContent xmlns:mc="http://schemas.openxmlformats.org/markup-compatibility/2006">
      <mc:Choice Requires="x14">
        <control shapeId="1274" r:id="rId76" name="CheckBox248">
          <controlPr autoLine="0" r:id="rId7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4" r:id="rId76" name="CheckBox248"/>
      </mc:Fallback>
    </mc:AlternateContent>
    <mc:AlternateContent xmlns:mc="http://schemas.openxmlformats.org/markup-compatibility/2006">
      <mc:Choice Requires="x14">
        <control shapeId="1273" r:id="rId78" name="CheckBox247">
          <controlPr autoLine="0" r:id="rId7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3" r:id="rId78" name="CheckBox247"/>
      </mc:Fallback>
    </mc:AlternateContent>
    <mc:AlternateContent xmlns:mc="http://schemas.openxmlformats.org/markup-compatibility/2006">
      <mc:Choice Requires="x14">
        <control shapeId="1272" r:id="rId80" name="CheckBox246">
          <controlPr autoLine="0" r:id="rId8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2" r:id="rId80" name="CheckBox246"/>
      </mc:Fallback>
    </mc:AlternateContent>
    <mc:AlternateContent xmlns:mc="http://schemas.openxmlformats.org/markup-compatibility/2006">
      <mc:Choice Requires="x14">
        <control shapeId="1271" r:id="rId82" name="CheckBox245">
          <controlPr autoLine="0" r:id="rId8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1" r:id="rId82" name="CheckBox245"/>
      </mc:Fallback>
    </mc:AlternateContent>
    <mc:AlternateContent xmlns:mc="http://schemas.openxmlformats.org/markup-compatibility/2006">
      <mc:Choice Requires="x14">
        <control shapeId="1270" r:id="rId84" name="CheckBox244">
          <controlPr autoLine="0" r:id="rId8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70" r:id="rId84" name="CheckBox244"/>
      </mc:Fallback>
    </mc:AlternateContent>
    <mc:AlternateContent xmlns:mc="http://schemas.openxmlformats.org/markup-compatibility/2006">
      <mc:Choice Requires="x14">
        <control shapeId="1269" r:id="rId86" name="CheckBox243">
          <controlPr autoLine="0" r:id="rId8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9" r:id="rId86" name="CheckBox243"/>
      </mc:Fallback>
    </mc:AlternateContent>
    <mc:AlternateContent xmlns:mc="http://schemas.openxmlformats.org/markup-compatibility/2006">
      <mc:Choice Requires="x14">
        <control shapeId="1268" r:id="rId88" name="CheckBox242">
          <controlPr autoLine="0" r:id="rId8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8" r:id="rId88" name="CheckBox242"/>
      </mc:Fallback>
    </mc:AlternateContent>
    <mc:AlternateContent xmlns:mc="http://schemas.openxmlformats.org/markup-compatibility/2006">
      <mc:Choice Requires="x14">
        <control shapeId="1267" r:id="rId90" name="CheckBox241">
          <controlPr autoLine="0" r:id="rId9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7" r:id="rId90" name="CheckBox241"/>
      </mc:Fallback>
    </mc:AlternateContent>
    <mc:AlternateContent xmlns:mc="http://schemas.openxmlformats.org/markup-compatibility/2006">
      <mc:Choice Requires="x14">
        <control shapeId="1266" r:id="rId92" name="CheckBox240">
          <controlPr autoLine="0" r:id="rId9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6" r:id="rId92" name="CheckBox240"/>
      </mc:Fallback>
    </mc:AlternateContent>
    <mc:AlternateContent xmlns:mc="http://schemas.openxmlformats.org/markup-compatibility/2006">
      <mc:Choice Requires="x14">
        <control shapeId="1265" r:id="rId94" name="CheckBox239">
          <controlPr autoLine="0" r:id="rId9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5" r:id="rId94" name="CheckBox239"/>
      </mc:Fallback>
    </mc:AlternateContent>
    <mc:AlternateContent xmlns:mc="http://schemas.openxmlformats.org/markup-compatibility/2006">
      <mc:Choice Requires="x14">
        <control shapeId="1264" r:id="rId96" name="CheckBox238">
          <controlPr autoLine="0" r:id="rId9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4" r:id="rId96" name="CheckBox238"/>
      </mc:Fallback>
    </mc:AlternateContent>
    <mc:AlternateContent xmlns:mc="http://schemas.openxmlformats.org/markup-compatibility/2006">
      <mc:Choice Requires="x14">
        <control shapeId="1263" r:id="rId98" name="CheckBox237">
          <controlPr autoLine="0" r:id="rId9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3" r:id="rId98" name="CheckBox237"/>
      </mc:Fallback>
    </mc:AlternateContent>
    <mc:AlternateContent xmlns:mc="http://schemas.openxmlformats.org/markup-compatibility/2006">
      <mc:Choice Requires="x14">
        <control shapeId="1262" r:id="rId100" name="CheckBox236">
          <controlPr autoLine="0" r:id="rId10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2" r:id="rId100" name="CheckBox236"/>
      </mc:Fallback>
    </mc:AlternateContent>
    <mc:AlternateContent xmlns:mc="http://schemas.openxmlformats.org/markup-compatibility/2006">
      <mc:Choice Requires="x14">
        <control shapeId="1261" r:id="rId102" name="CheckBox235">
          <controlPr autoLine="0" r:id="rId10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1" r:id="rId102" name="CheckBox235"/>
      </mc:Fallback>
    </mc:AlternateContent>
    <mc:AlternateContent xmlns:mc="http://schemas.openxmlformats.org/markup-compatibility/2006">
      <mc:Choice Requires="x14">
        <control shapeId="1260" r:id="rId104" name="CheckBox234">
          <controlPr autoLine="0" r:id="rId10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60" r:id="rId104" name="CheckBox234"/>
      </mc:Fallback>
    </mc:AlternateContent>
    <mc:AlternateContent xmlns:mc="http://schemas.openxmlformats.org/markup-compatibility/2006">
      <mc:Choice Requires="x14">
        <control shapeId="1259" r:id="rId106" name="CheckBox233">
          <controlPr autoLine="0" r:id="rId10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9" r:id="rId106" name="CheckBox233"/>
      </mc:Fallback>
    </mc:AlternateContent>
    <mc:AlternateContent xmlns:mc="http://schemas.openxmlformats.org/markup-compatibility/2006">
      <mc:Choice Requires="x14">
        <control shapeId="1258" r:id="rId108" name="CheckBox232">
          <controlPr autoLine="0" r:id="rId10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8" r:id="rId108" name="CheckBox232"/>
      </mc:Fallback>
    </mc:AlternateContent>
    <mc:AlternateContent xmlns:mc="http://schemas.openxmlformats.org/markup-compatibility/2006">
      <mc:Choice Requires="x14">
        <control shapeId="1257" r:id="rId110" name="CheckBox231">
          <controlPr autoLine="0" r:id="rId11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7" r:id="rId110" name="CheckBox231"/>
      </mc:Fallback>
    </mc:AlternateContent>
    <mc:AlternateContent xmlns:mc="http://schemas.openxmlformats.org/markup-compatibility/2006">
      <mc:Choice Requires="x14">
        <control shapeId="1256" r:id="rId112" name="CheckBox230">
          <controlPr autoLine="0" r:id="rId11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6" r:id="rId112" name="CheckBox230"/>
      </mc:Fallback>
    </mc:AlternateContent>
    <mc:AlternateContent xmlns:mc="http://schemas.openxmlformats.org/markup-compatibility/2006">
      <mc:Choice Requires="x14">
        <control shapeId="1255" r:id="rId114" name="CheckBox229">
          <controlPr autoLine="0" r:id="rId11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5" r:id="rId114" name="CheckBox229"/>
      </mc:Fallback>
    </mc:AlternateContent>
    <mc:AlternateContent xmlns:mc="http://schemas.openxmlformats.org/markup-compatibility/2006">
      <mc:Choice Requires="x14">
        <control shapeId="1254" r:id="rId116" name="CheckBox228">
          <controlPr autoLine="0" r:id="rId11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4" r:id="rId116" name="CheckBox228"/>
      </mc:Fallback>
    </mc:AlternateContent>
    <mc:AlternateContent xmlns:mc="http://schemas.openxmlformats.org/markup-compatibility/2006">
      <mc:Choice Requires="x14">
        <control shapeId="1253" r:id="rId118" name="CheckBox227">
          <controlPr autoLine="0" r:id="rId11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3" r:id="rId118" name="CheckBox227"/>
      </mc:Fallback>
    </mc:AlternateContent>
    <mc:AlternateContent xmlns:mc="http://schemas.openxmlformats.org/markup-compatibility/2006">
      <mc:Choice Requires="x14">
        <control shapeId="1252" r:id="rId120" name="CheckBox226">
          <controlPr autoLine="0" r:id="rId12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2" r:id="rId120" name="CheckBox226"/>
      </mc:Fallback>
    </mc:AlternateContent>
    <mc:AlternateContent xmlns:mc="http://schemas.openxmlformats.org/markup-compatibility/2006">
      <mc:Choice Requires="x14">
        <control shapeId="1251" r:id="rId122" name="CheckBox225">
          <controlPr autoLine="0" r:id="rId12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1" r:id="rId122" name="CheckBox225"/>
      </mc:Fallback>
    </mc:AlternateContent>
    <mc:AlternateContent xmlns:mc="http://schemas.openxmlformats.org/markup-compatibility/2006">
      <mc:Choice Requires="x14">
        <control shapeId="1250" r:id="rId124" name="CheckBox224">
          <controlPr autoLine="0" r:id="rId12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50" r:id="rId124" name="CheckBox224"/>
      </mc:Fallback>
    </mc:AlternateContent>
    <mc:AlternateContent xmlns:mc="http://schemas.openxmlformats.org/markup-compatibility/2006">
      <mc:Choice Requires="x14">
        <control shapeId="1249" r:id="rId126" name="CheckBox223">
          <controlPr autoLine="0" r:id="rId12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9" r:id="rId126" name="CheckBox223"/>
      </mc:Fallback>
    </mc:AlternateContent>
    <mc:AlternateContent xmlns:mc="http://schemas.openxmlformats.org/markup-compatibility/2006">
      <mc:Choice Requires="x14">
        <control shapeId="1248" r:id="rId128" name="CheckBox222">
          <controlPr autoLine="0" r:id="rId12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8" r:id="rId128" name="CheckBox222"/>
      </mc:Fallback>
    </mc:AlternateContent>
    <mc:AlternateContent xmlns:mc="http://schemas.openxmlformats.org/markup-compatibility/2006">
      <mc:Choice Requires="x14">
        <control shapeId="1247" r:id="rId130" name="CheckBox221">
          <controlPr autoLine="0" r:id="rId13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7" r:id="rId130" name="CheckBox221"/>
      </mc:Fallback>
    </mc:AlternateContent>
    <mc:AlternateContent xmlns:mc="http://schemas.openxmlformats.org/markup-compatibility/2006">
      <mc:Choice Requires="x14">
        <control shapeId="1246" r:id="rId132" name="CheckBox220">
          <controlPr autoLine="0" r:id="rId13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6" r:id="rId132" name="CheckBox220"/>
      </mc:Fallback>
    </mc:AlternateContent>
    <mc:AlternateContent xmlns:mc="http://schemas.openxmlformats.org/markup-compatibility/2006">
      <mc:Choice Requires="x14">
        <control shapeId="1245" r:id="rId134" name="CheckBox219">
          <controlPr autoLine="0" r:id="rId13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5" r:id="rId134" name="CheckBox219"/>
      </mc:Fallback>
    </mc:AlternateContent>
    <mc:AlternateContent xmlns:mc="http://schemas.openxmlformats.org/markup-compatibility/2006">
      <mc:Choice Requires="x14">
        <control shapeId="1244" r:id="rId136" name="CheckBox218">
          <controlPr autoLine="0" r:id="rId13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4" r:id="rId136" name="CheckBox218"/>
      </mc:Fallback>
    </mc:AlternateContent>
    <mc:AlternateContent xmlns:mc="http://schemas.openxmlformats.org/markup-compatibility/2006">
      <mc:Choice Requires="x14">
        <control shapeId="1243" r:id="rId138" name="CheckBox217">
          <controlPr autoLine="0" r:id="rId13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3" r:id="rId138" name="CheckBox217"/>
      </mc:Fallback>
    </mc:AlternateContent>
    <mc:AlternateContent xmlns:mc="http://schemas.openxmlformats.org/markup-compatibility/2006">
      <mc:Choice Requires="x14">
        <control shapeId="1242" r:id="rId140" name="CheckBox216">
          <controlPr autoLine="0" r:id="rId14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2" r:id="rId140" name="CheckBox216"/>
      </mc:Fallback>
    </mc:AlternateContent>
    <mc:AlternateContent xmlns:mc="http://schemas.openxmlformats.org/markup-compatibility/2006">
      <mc:Choice Requires="x14">
        <control shapeId="1241" r:id="rId142" name="CheckBox215">
          <controlPr autoLine="0" r:id="rId14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1" r:id="rId142" name="CheckBox215"/>
      </mc:Fallback>
    </mc:AlternateContent>
    <mc:AlternateContent xmlns:mc="http://schemas.openxmlformats.org/markup-compatibility/2006">
      <mc:Choice Requires="x14">
        <control shapeId="1240" r:id="rId144" name="CheckBox214">
          <controlPr autoLine="0" r:id="rId14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40" r:id="rId144" name="CheckBox214"/>
      </mc:Fallback>
    </mc:AlternateContent>
    <mc:AlternateContent xmlns:mc="http://schemas.openxmlformats.org/markup-compatibility/2006">
      <mc:Choice Requires="x14">
        <control shapeId="1239" r:id="rId146" name="CheckBox213">
          <controlPr autoLine="0" r:id="rId14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9" r:id="rId146" name="CheckBox213"/>
      </mc:Fallback>
    </mc:AlternateContent>
    <mc:AlternateContent xmlns:mc="http://schemas.openxmlformats.org/markup-compatibility/2006">
      <mc:Choice Requires="x14">
        <control shapeId="1238" r:id="rId148" name="CheckBox212">
          <controlPr autoLine="0" r:id="rId14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8" r:id="rId148" name="CheckBox212"/>
      </mc:Fallback>
    </mc:AlternateContent>
    <mc:AlternateContent xmlns:mc="http://schemas.openxmlformats.org/markup-compatibility/2006">
      <mc:Choice Requires="x14">
        <control shapeId="1237" r:id="rId150" name="CheckBox211">
          <controlPr autoLine="0" r:id="rId15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7" r:id="rId150" name="CheckBox211"/>
      </mc:Fallback>
    </mc:AlternateContent>
    <mc:AlternateContent xmlns:mc="http://schemas.openxmlformats.org/markup-compatibility/2006">
      <mc:Choice Requires="x14">
        <control shapeId="1236" r:id="rId152" name="CheckBox210">
          <controlPr autoLine="0" r:id="rId15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6" r:id="rId152" name="CheckBox210"/>
      </mc:Fallback>
    </mc:AlternateContent>
    <mc:AlternateContent xmlns:mc="http://schemas.openxmlformats.org/markup-compatibility/2006">
      <mc:Choice Requires="x14">
        <control shapeId="1235" r:id="rId154" name="CheckBox209">
          <controlPr autoLine="0" r:id="rId15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5" r:id="rId154" name="CheckBox209"/>
      </mc:Fallback>
    </mc:AlternateContent>
    <mc:AlternateContent xmlns:mc="http://schemas.openxmlformats.org/markup-compatibility/2006">
      <mc:Choice Requires="x14">
        <control shapeId="1234" r:id="rId156" name="CheckBox208">
          <controlPr autoLine="0" r:id="rId15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4" r:id="rId156" name="CheckBox208"/>
      </mc:Fallback>
    </mc:AlternateContent>
    <mc:AlternateContent xmlns:mc="http://schemas.openxmlformats.org/markup-compatibility/2006">
      <mc:Choice Requires="x14">
        <control shapeId="1233" r:id="rId158" name="CheckBox207">
          <controlPr autoLine="0" r:id="rId15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3" r:id="rId158" name="CheckBox207"/>
      </mc:Fallback>
    </mc:AlternateContent>
    <mc:AlternateContent xmlns:mc="http://schemas.openxmlformats.org/markup-compatibility/2006">
      <mc:Choice Requires="x14">
        <control shapeId="1232" r:id="rId160" name="CheckBox206">
          <controlPr autoLine="0" r:id="rId16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2" r:id="rId160" name="CheckBox206"/>
      </mc:Fallback>
    </mc:AlternateContent>
    <mc:AlternateContent xmlns:mc="http://schemas.openxmlformats.org/markup-compatibility/2006">
      <mc:Choice Requires="x14">
        <control shapeId="1231" r:id="rId162" name="CheckBox205">
          <controlPr autoLine="0" r:id="rId16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1" r:id="rId162" name="CheckBox205"/>
      </mc:Fallback>
    </mc:AlternateContent>
    <mc:AlternateContent xmlns:mc="http://schemas.openxmlformats.org/markup-compatibility/2006">
      <mc:Choice Requires="x14">
        <control shapeId="1230" r:id="rId164" name="CheckBox204">
          <controlPr autoLine="0" r:id="rId16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30" r:id="rId164" name="CheckBox204"/>
      </mc:Fallback>
    </mc:AlternateContent>
    <mc:AlternateContent xmlns:mc="http://schemas.openxmlformats.org/markup-compatibility/2006">
      <mc:Choice Requires="x14">
        <control shapeId="1229" r:id="rId166" name="CheckBox203">
          <controlPr autoLine="0" r:id="rId16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9" r:id="rId166" name="CheckBox203"/>
      </mc:Fallback>
    </mc:AlternateContent>
    <mc:AlternateContent xmlns:mc="http://schemas.openxmlformats.org/markup-compatibility/2006">
      <mc:Choice Requires="x14">
        <control shapeId="1228" r:id="rId168" name="CheckBox202">
          <controlPr autoLine="0" r:id="rId16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8" r:id="rId168" name="CheckBox202"/>
      </mc:Fallback>
    </mc:AlternateContent>
    <mc:AlternateContent xmlns:mc="http://schemas.openxmlformats.org/markup-compatibility/2006">
      <mc:Choice Requires="x14">
        <control shapeId="1227" r:id="rId170" name="CheckBox201">
          <controlPr autoLine="0" r:id="rId17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7" r:id="rId170" name="CheckBox201"/>
      </mc:Fallback>
    </mc:AlternateContent>
    <mc:AlternateContent xmlns:mc="http://schemas.openxmlformats.org/markup-compatibility/2006">
      <mc:Choice Requires="x14">
        <control shapeId="1226" r:id="rId172" name="CheckBox200">
          <controlPr autoLine="0" r:id="rId17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6" r:id="rId172" name="CheckBox200"/>
      </mc:Fallback>
    </mc:AlternateContent>
    <mc:AlternateContent xmlns:mc="http://schemas.openxmlformats.org/markup-compatibility/2006">
      <mc:Choice Requires="x14">
        <control shapeId="1225" r:id="rId174" name="CheckBox199">
          <controlPr autoLine="0" r:id="rId17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5" r:id="rId174" name="CheckBox199"/>
      </mc:Fallback>
    </mc:AlternateContent>
    <mc:AlternateContent xmlns:mc="http://schemas.openxmlformats.org/markup-compatibility/2006">
      <mc:Choice Requires="x14">
        <control shapeId="1224" r:id="rId176" name="CheckBox198">
          <controlPr autoLine="0" r:id="rId17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4" r:id="rId176" name="CheckBox198"/>
      </mc:Fallback>
    </mc:AlternateContent>
    <mc:AlternateContent xmlns:mc="http://schemas.openxmlformats.org/markup-compatibility/2006">
      <mc:Choice Requires="x14">
        <control shapeId="1223" r:id="rId178" name="CheckBox197">
          <controlPr autoLine="0" r:id="rId17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3" r:id="rId178" name="CheckBox197"/>
      </mc:Fallback>
    </mc:AlternateContent>
    <mc:AlternateContent xmlns:mc="http://schemas.openxmlformats.org/markup-compatibility/2006">
      <mc:Choice Requires="x14">
        <control shapeId="1222" r:id="rId180" name="CheckBox196">
          <controlPr autoLine="0" r:id="rId18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2" r:id="rId180" name="CheckBox196"/>
      </mc:Fallback>
    </mc:AlternateContent>
    <mc:AlternateContent xmlns:mc="http://schemas.openxmlformats.org/markup-compatibility/2006">
      <mc:Choice Requires="x14">
        <control shapeId="1221" r:id="rId182" name="CheckBox195">
          <controlPr autoLine="0" r:id="rId18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1" r:id="rId182" name="CheckBox195"/>
      </mc:Fallback>
    </mc:AlternateContent>
    <mc:AlternateContent xmlns:mc="http://schemas.openxmlformats.org/markup-compatibility/2006">
      <mc:Choice Requires="x14">
        <control shapeId="1220" r:id="rId184" name="CheckBox194">
          <controlPr autoLine="0" r:id="rId18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20" r:id="rId184" name="CheckBox194"/>
      </mc:Fallback>
    </mc:AlternateContent>
    <mc:AlternateContent xmlns:mc="http://schemas.openxmlformats.org/markup-compatibility/2006">
      <mc:Choice Requires="x14">
        <control shapeId="1219" r:id="rId186" name="CheckBox193">
          <controlPr autoLine="0" r:id="rId18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9" r:id="rId186" name="CheckBox193"/>
      </mc:Fallback>
    </mc:AlternateContent>
    <mc:AlternateContent xmlns:mc="http://schemas.openxmlformats.org/markup-compatibility/2006">
      <mc:Choice Requires="x14">
        <control shapeId="1218" r:id="rId188" name="CheckBox192">
          <controlPr autoLine="0" r:id="rId18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8" r:id="rId188" name="CheckBox192"/>
      </mc:Fallback>
    </mc:AlternateContent>
    <mc:AlternateContent xmlns:mc="http://schemas.openxmlformats.org/markup-compatibility/2006">
      <mc:Choice Requires="x14">
        <control shapeId="1217" r:id="rId190" name="CheckBox191">
          <controlPr autoLine="0" r:id="rId19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7" r:id="rId190" name="CheckBox191"/>
      </mc:Fallback>
    </mc:AlternateContent>
    <mc:AlternateContent xmlns:mc="http://schemas.openxmlformats.org/markup-compatibility/2006">
      <mc:Choice Requires="x14">
        <control shapeId="1216" r:id="rId192" name="CheckBox190">
          <controlPr autoLine="0" r:id="rId19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6" r:id="rId192" name="CheckBox190"/>
      </mc:Fallback>
    </mc:AlternateContent>
    <mc:AlternateContent xmlns:mc="http://schemas.openxmlformats.org/markup-compatibility/2006">
      <mc:Choice Requires="x14">
        <control shapeId="1215" r:id="rId194" name="CheckBox189">
          <controlPr autoLine="0" r:id="rId19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5" r:id="rId194" name="CheckBox189"/>
      </mc:Fallback>
    </mc:AlternateContent>
    <mc:AlternateContent xmlns:mc="http://schemas.openxmlformats.org/markup-compatibility/2006">
      <mc:Choice Requires="x14">
        <control shapeId="1214" r:id="rId196" name="CheckBox188">
          <controlPr autoLine="0" r:id="rId19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4" r:id="rId196" name="CheckBox188"/>
      </mc:Fallback>
    </mc:AlternateContent>
    <mc:AlternateContent xmlns:mc="http://schemas.openxmlformats.org/markup-compatibility/2006">
      <mc:Choice Requires="x14">
        <control shapeId="1213" r:id="rId198" name="CheckBox187">
          <controlPr autoLine="0" r:id="rId19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3" r:id="rId198" name="CheckBox187"/>
      </mc:Fallback>
    </mc:AlternateContent>
    <mc:AlternateContent xmlns:mc="http://schemas.openxmlformats.org/markup-compatibility/2006">
      <mc:Choice Requires="x14">
        <control shapeId="1212" r:id="rId200" name="CheckBox186">
          <controlPr autoLine="0" r:id="rId20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2" r:id="rId200" name="CheckBox186"/>
      </mc:Fallback>
    </mc:AlternateContent>
    <mc:AlternateContent xmlns:mc="http://schemas.openxmlformats.org/markup-compatibility/2006">
      <mc:Choice Requires="x14">
        <control shapeId="1211" r:id="rId202" name="CheckBox185">
          <controlPr autoLine="0" r:id="rId20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1" r:id="rId202" name="CheckBox185"/>
      </mc:Fallback>
    </mc:AlternateContent>
    <mc:AlternateContent xmlns:mc="http://schemas.openxmlformats.org/markup-compatibility/2006">
      <mc:Choice Requires="x14">
        <control shapeId="1210" r:id="rId204" name="CheckBox184">
          <controlPr autoLine="0" r:id="rId20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10" r:id="rId204" name="CheckBox184"/>
      </mc:Fallback>
    </mc:AlternateContent>
    <mc:AlternateContent xmlns:mc="http://schemas.openxmlformats.org/markup-compatibility/2006">
      <mc:Choice Requires="x14">
        <control shapeId="1209" r:id="rId206" name="CheckBox183">
          <controlPr autoLine="0" r:id="rId20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9" r:id="rId206" name="CheckBox183"/>
      </mc:Fallback>
    </mc:AlternateContent>
    <mc:AlternateContent xmlns:mc="http://schemas.openxmlformats.org/markup-compatibility/2006">
      <mc:Choice Requires="x14">
        <control shapeId="1208" r:id="rId208" name="CheckBox182">
          <controlPr autoLine="0" r:id="rId20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8" r:id="rId208" name="CheckBox182"/>
      </mc:Fallback>
    </mc:AlternateContent>
    <mc:AlternateContent xmlns:mc="http://schemas.openxmlformats.org/markup-compatibility/2006">
      <mc:Choice Requires="x14">
        <control shapeId="1207" r:id="rId210" name="CheckBox181">
          <controlPr autoLine="0" r:id="rId21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7" r:id="rId210" name="CheckBox181"/>
      </mc:Fallback>
    </mc:AlternateContent>
    <mc:AlternateContent xmlns:mc="http://schemas.openxmlformats.org/markup-compatibility/2006">
      <mc:Choice Requires="x14">
        <control shapeId="1206" r:id="rId212" name="CheckBox180">
          <controlPr autoLine="0" r:id="rId21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6" r:id="rId212" name="CheckBox180"/>
      </mc:Fallback>
    </mc:AlternateContent>
    <mc:AlternateContent xmlns:mc="http://schemas.openxmlformats.org/markup-compatibility/2006">
      <mc:Choice Requires="x14">
        <control shapeId="1205" r:id="rId214" name="CheckBox179">
          <controlPr autoLine="0" r:id="rId21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5" r:id="rId214" name="CheckBox179"/>
      </mc:Fallback>
    </mc:AlternateContent>
    <mc:AlternateContent xmlns:mc="http://schemas.openxmlformats.org/markup-compatibility/2006">
      <mc:Choice Requires="x14">
        <control shapeId="1204" r:id="rId216" name="CheckBox178">
          <controlPr autoLine="0" r:id="rId21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4" r:id="rId216" name="CheckBox178"/>
      </mc:Fallback>
    </mc:AlternateContent>
    <mc:AlternateContent xmlns:mc="http://schemas.openxmlformats.org/markup-compatibility/2006">
      <mc:Choice Requires="x14">
        <control shapeId="1203" r:id="rId218" name="CheckBox177">
          <controlPr autoLine="0" r:id="rId21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3" r:id="rId218" name="CheckBox177"/>
      </mc:Fallback>
    </mc:AlternateContent>
    <mc:AlternateContent xmlns:mc="http://schemas.openxmlformats.org/markup-compatibility/2006">
      <mc:Choice Requires="x14">
        <control shapeId="1202" r:id="rId220" name="CheckBox176">
          <controlPr autoLine="0" r:id="rId22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2" r:id="rId220" name="CheckBox176"/>
      </mc:Fallback>
    </mc:AlternateContent>
    <mc:AlternateContent xmlns:mc="http://schemas.openxmlformats.org/markup-compatibility/2006">
      <mc:Choice Requires="x14">
        <control shapeId="1201" r:id="rId222" name="CheckBox175">
          <controlPr autoLine="0" r:id="rId22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1" r:id="rId222" name="CheckBox175"/>
      </mc:Fallback>
    </mc:AlternateContent>
    <mc:AlternateContent xmlns:mc="http://schemas.openxmlformats.org/markup-compatibility/2006">
      <mc:Choice Requires="x14">
        <control shapeId="1200" r:id="rId224" name="CheckBox174">
          <controlPr autoLine="0" r:id="rId22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200" r:id="rId224" name="CheckBox174"/>
      </mc:Fallback>
    </mc:AlternateContent>
    <mc:AlternateContent xmlns:mc="http://schemas.openxmlformats.org/markup-compatibility/2006">
      <mc:Choice Requires="x14">
        <control shapeId="1199" r:id="rId226" name="CheckBox173">
          <controlPr autoLine="0" r:id="rId22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9" r:id="rId226" name="CheckBox173"/>
      </mc:Fallback>
    </mc:AlternateContent>
    <mc:AlternateContent xmlns:mc="http://schemas.openxmlformats.org/markup-compatibility/2006">
      <mc:Choice Requires="x14">
        <control shapeId="1198" r:id="rId228" name="CheckBox172">
          <controlPr autoLine="0" r:id="rId22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8" r:id="rId228" name="CheckBox172"/>
      </mc:Fallback>
    </mc:AlternateContent>
    <mc:AlternateContent xmlns:mc="http://schemas.openxmlformats.org/markup-compatibility/2006">
      <mc:Choice Requires="x14">
        <control shapeId="1197" r:id="rId230" name="CheckBox171">
          <controlPr autoLine="0" r:id="rId23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7" r:id="rId230" name="CheckBox171"/>
      </mc:Fallback>
    </mc:AlternateContent>
    <mc:AlternateContent xmlns:mc="http://schemas.openxmlformats.org/markup-compatibility/2006">
      <mc:Choice Requires="x14">
        <control shapeId="1196" r:id="rId232" name="CheckBox170">
          <controlPr autoLine="0" r:id="rId23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6" r:id="rId232" name="CheckBox170"/>
      </mc:Fallback>
    </mc:AlternateContent>
    <mc:AlternateContent xmlns:mc="http://schemas.openxmlformats.org/markup-compatibility/2006">
      <mc:Choice Requires="x14">
        <control shapeId="1195" r:id="rId234" name="CheckBox169">
          <controlPr autoLine="0" r:id="rId23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5" r:id="rId234" name="CheckBox169"/>
      </mc:Fallback>
    </mc:AlternateContent>
    <mc:AlternateContent xmlns:mc="http://schemas.openxmlformats.org/markup-compatibility/2006">
      <mc:Choice Requires="x14">
        <control shapeId="1194" r:id="rId236" name="CheckBox168">
          <controlPr autoLine="0" r:id="rId23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4" r:id="rId236" name="CheckBox168"/>
      </mc:Fallback>
    </mc:AlternateContent>
    <mc:AlternateContent xmlns:mc="http://schemas.openxmlformats.org/markup-compatibility/2006">
      <mc:Choice Requires="x14">
        <control shapeId="1193" r:id="rId238" name="CheckBox167">
          <controlPr autoLine="0" r:id="rId23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3" r:id="rId238" name="CheckBox167"/>
      </mc:Fallback>
    </mc:AlternateContent>
    <mc:AlternateContent xmlns:mc="http://schemas.openxmlformats.org/markup-compatibility/2006">
      <mc:Choice Requires="x14">
        <control shapeId="1192" r:id="rId240" name="CheckBox166">
          <controlPr autoLine="0" r:id="rId24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2" r:id="rId240" name="CheckBox166"/>
      </mc:Fallback>
    </mc:AlternateContent>
    <mc:AlternateContent xmlns:mc="http://schemas.openxmlformats.org/markup-compatibility/2006">
      <mc:Choice Requires="x14">
        <control shapeId="1191" r:id="rId242" name="CheckBox165">
          <controlPr autoLine="0" r:id="rId24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1" r:id="rId242" name="CheckBox165"/>
      </mc:Fallback>
    </mc:AlternateContent>
    <mc:AlternateContent xmlns:mc="http://schemas.openxmlformats.org/markup-compatibility/2006">
      <mc:Choice Requires="x14">
        <control shapeId="1190" r:id="rId244" name="CheckBox164">
          <controlPr autoLine="0" r:id="rId24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90" r:id="rId244" name="CheckBox164"/>
      </mc:Fallback>
    </mc:AlternateContent>
    <mc:AlternateContent xmlns:mc="http://schemas.openxmlformats.org/markup-compatibility/2006">
      <mc:Choice Requires="x14">
        <control shapeId="1189" r:id="rId246" name="CheckBox163">
          <controlPr autoLine="0" r:id="rId24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9" r:id="rId246" name="CheckBox163"/>
      </mc:Fallback>
    </mc:AlternateContent>
    <mc:AlternateContent xmlns:mc="http://schemas.openxmlformats.org/markup-compatibility/2006">
      <mc:Choice Requires="x14">
        <control shapeId="1188" r:id="rId248" name="CheckBox162">
          <controlPr autoLine="0" r:id="rId24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8" r:id="rId248" name="CheckBox162"/>
      </mc:Fallback>
    </mc:AlternateContent>
    <mc:AlternateContent xmlns:mc="http://schemas.openxmlformats.org/markup-compatibility/2006">
      <mc:Choice Requires="x14">
        <control shapeId="1187" r:id="rId250" name="CheckBox161">
          <controlPr autoLine="0" r:id="rId25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7" r:id="rId250" name="CheckBox161"/>
      </mc:Fallback>
    </mc:AlternateContent>
    <mc:AlternateContent xmlns:mc="http://schemas.openxmlformats.org/markup-compatibility/2006">
      <mc:Choice Requires="x14">
        <control shapeId="1186" r:id="rId252" name="CheckBox160">
          <controlPr autoLine="0" r:id="rId25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6" r:id="rId252" name="CheckBox160"/>
      </mc:Fallback>
    </mc:AlternateContent>
    <mc:AlternateContent xmlns:mc="http://schemas.openxmlformats.org/markup-compatibility/2006">
      <mc:Choice Requires="x14">
        <control shapeId="1185" r:id="rId254" name="CheckBox159">
          <controlPr autoLine="0" r:id="rId25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5" r:id="rId254" name="CheckBox159"/>
      </mc:Fallback>
    </mc:AlternateContent>
    <mc:AlternateContent xmlns:mc="http://schemas.openxmlformats.org/markup-compatibility/2006">
      <mc:Choice Requires="x14">
        <control shapeId="1184" r:id="rId256" name="CheckBox158">
          <controlPr autoLine="0" r:id="rId25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4" r:id="rId256" name="CheckBox158"/>
      </mc:Fallback>
    </mc:AlternateContent>
    <mc:AlternateContent xmlns:mc="http://schemas.openxmlformats.org/markup-compatibility/2006">
      <mc:Choice Requires="x14">
        <control shapeId="1183" r:id="rId258" name="CheckBox157">
          <controlPr autoLine="0" r:id="rId25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3" r:id="rId258" name="CheckBox157"/>
      </mc:Fallback>
    </mc:AlternateContent>
    <mc:AlternateContent xmlns:mc="http://schemas.openxmlformats.org/markup-compatibility/2006">
      <mc:Choice Requires="x14">
        <control shapeId="1182" r:id="rId260" name="CheckBox156">
          <controlPr autoLine="0" r:id="rId26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2" r:id="rId260" name="CheckBox156"/>
      </mc:Fallback>
    </mc:AlternateContent>
    <mc:AlternateContent xmlns:mc="http://schemas.openxmlformats.org/markup-compatibility/2006">
      <mc:Choice Requires="x14">
        <control shapeId="1181" r:id="rId262" name="CheckBox155">
          <controlPr autoLine="0" r:id="rId26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1" r:id="rId262" name="CheckBox155"/>
      </mc:Fallback>
    </mc:AlternateContent>
    <mc:AlternateContent xmlns:mc="http://schemas.openxmlformats.org/markup-compatibility/2006">
      <mc:Choice Requires="x14">
        <control shapeId="1180" r:id="rId264" name="CheckBox154">
          <controlPr autoLine="0" r:id="rId26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80" r:id="rId264" name="CheckBox154"/>
      </mc:Fallback>
    </mc:AlternateContent>
    <mc:AlternateContent xmlns:mc="http://schemas.openxmlformats.org/markup-compatibility/2006">
      <mc:Choice Requires="x14">
        <control shapeId="1179" r:id="rId266" name="CheckBox153">
          <controlPr autoLine="0" r:id="rId26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9" r:id="rId266" name="CheckBox153"/>
      </mc:Fallback>
    </mc:AlternateContent>
    <mc:AlternateContent xmlns:mc="http://schemas.openxmlformats.org/markup-compatibility/2006">
      <mc:Choice Requires="x14">
        <control shapeId="1178" r:id="rId268" name="CheckBox152">
          <controlPr autoLine="0" r:id="rId26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8" r:id="rId268" name="CheckBox152"/>
      </mc:Fallback>
    </mc:AlternateContent>
    <mc:AlternateContent xmlns:mc="http://schemas.openxmlformats.org/markup-compatibility/2006">
      <mc:Choice Requires="x14">
        <control shapeId="1177" r:id="rId270" name="CheckBox151">
          <controlPr autoLine="0" r:id="rId27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7" r:id="rId270" name="CheckBox151"/>
      </mc:Fallback>
    </mc:AlternateContent>
    <mc:AlternateContent xmlns:mc="http://schemas.openxmlformats.org/markup-compatibility/2006">
      <mc:Choice Requires="x14">
        <control shapeId="1176" r:id="rId272" name="CheckBox150">
          <controlPr autoLine="0" r:id="rId27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6" r:id="rId272" name="CheckBox150"/>
      </mc:Fallback>
    </mc:AlternateContent>
    <mc:AlternateContent xmlns:mc="http://schemas.openxmlformats.org/markup-compatibility/2006">
      <mc:Choice Requires="x14">
        <control shapeId="1175" r:id="rId274" name="CheckBox149">
          <controlPr autoLine="0" r:id="rId27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5" r:id="rId274" name="CheckBox149"/>
      </mc:Fallback>
    </mc:AlternateContent>
    <mc:AlternateContent xmlns:mc="http://schemas.openxmlformats.org/markup-compatibility/2006">
      <mc:Choice Requires="x14">
        <control shapeId="1174" r:id="rId276" name="CheckBox148">
          <controlPr autoLine="0" r:id="rId27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4" r:id="rId276" name="CheckBox148"/>
      </mc:Fallback>
    </mc:AlternateContent>
    <mc:AlternateContent xmlns:mc="http://schemas.openxmlformats.org/markup-compatibility/2006">
      <mc:Choice Requires="x14">
        <control shapeId="1173" r:id="rId278" name="CheckBox147">
          <controlPr autoLine="0" r:id="rId27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3" r:id="rId278" name="CheckBox147"/>
      </mc:Fallback>
    </mc:AlternateContent>
    <mc:AlternateContent xmlns:mc="http://schemas.openxmlformats.org/markup-compatibility/2006">
      <mc:Choice Requires="x14">
        <control shapeId="1172" r:id="rId280" name="CheckBox146">
          <controlPr autoLine="0" r:id="rId28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2" r:id="rId280" name="CheckBox146"/>
      </mc:Fallback>
    </mc:AlternateContent>
    <mc:AlternateContent xmlns:mc="http://schemas.openxmlformats.org/markup-compatibility/2006">
      <mc:Choice Requires="x14">
        <control shapeId="1171" r:id="rId282" name="CheckBox145">
          <controlPr autoLine="0" r:id="rId28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1" r:id="rId282" name="CheckBox145"/>
      </mc:Fallback>
    </mc:AlternateContent>
    <mc:AlternateContent xmlns:mc="http://schemas.openxmlformats.org/markup-compatibility/2006">
      <mc:Choice Requires="x14">
        <control shapeId="1170" r:id="rId284" name="CheckBox144">
          <controlPr autoLine="0" r:id="rId28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70" r:id="rId284" name="CheckBox144"/>
      </mc:Fallback>
    </mc:AlternateContent>
    <mc:AlternateContent xmlns:mc="http://schemas.openxmlformats.org/markup-compatibility/2006">
      <mc:Choice Requires="x14">
        <control shapeId="1169" r:id="rId286" name="CheckBox143">
          <controlPr autoLine="0" r:id="rId28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9" r:id="rId286" name="CheckBox143"/>
      </mc:Fallback>
    </mc:AlternateContent>
    <mc:AlternateContent xmlns:mc="http://schemas.openxmlformats.org/markup-compatibility/2006">
      <mc:Choice Requires="x14">
        <control shapeId="1168" r:id="rId288" name="CheckBox142">
          <controlPr autoLine="0" r:id="rId28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8" r:id="rId288" name="CheckBox142"/>
      </mc:Fallback>
    </mc:AlternateContent>
    <mc:AlternateContent xmlns:mc="http://schemas.openxmlformats.org/markup-compatibility/2006">
      <mc:Choice Requires="x14">
        <control shapeId="1167" r:id="rId290" name="CheckBox141">
          <controlPr autoLine="0" r:id="rId29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7" r:id="rId290" name="CheckBox141"/>
      </mc:Fallback>
    </mc:AlternateContent>
    <mc:AlternateContent xmlns:mc="http://schemas.openxmlformats.org/markup-compatibility/2006">
      <mc:Choice Requires="x14">
        <control shapeId="1166" r:id="rId292" name="CheckBox140">
          <controlPr autoLine="0" r:id="rId29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6" r:id="rId292" name="CheckBox140"/>
      </mc:Fallback>
    </mc:AlternateContent>
    <mc:AlternateContent xmlns:mc="http://schemas.openxmlformats.org/markup-compatibility/2006">
      <mc:Choice Requires="x14">
        <control shapeId="1165" r:id="rId294" name="CheckBox139">
          <controlPr autoLine="0" r:id="rId29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5" r:id="rId294" name="CheckBox139"/>
      </mc:Fallback>
    </mc:AlternateContent>
    <mc:AlternateContent xmlns:mc="http://schemas.openxmlformats.org/markup-compatibility/2006">
      <mc:Choice Requires="x14">
        <control shapeId="1164" r:id="rId296" name="CheckBox138">
          <controlPr autoLine="0" r:id="rId29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4" r:id="rId296" name="CheckBox138"/>
      </mc:Fallback>
    </mc:AlternateContent>
    <mc:AlternateContent xmlns:mc="http://schemas.openxmlformats.org/markup-compatibility/2006">
      <mc:Choice Requires="x14">
        <control shapeId="1163" r:id="rId298" name="CheckBox137">
          <controlPr autoLine="0" r:id="rId29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3" r:id="rId298" name="CheckBox137"/>
      </mc:Fallback>
    </mc:AlternateContent>
    <mc:AlternateContent xmlns:mc="http://schemas.openxmlformats.org/markup-compatibility/2006">
      <mc:Choice Requires="x14">
        <control shapeId="1162" r:id="rId300" name="CheckBox136">
          <controlPr autoLine="0" r:id="rId30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2" r:id="rId300" name="CheckBox136"/>
      </mc:Fallback>
    </mc:AlternateContent>
    <mc:AlternateContent xmlns:mc="http://schemas.openxmlformats.org/markup-compatibility/2006">
      <mc:Choice Requires="x14">
        <control shapeId="1161" r:id="rId302" name="CheckBox135">
          <controlPr autoLine="0" r:id="rId30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1" r:id="rId302" name="CheckBox135"/>
      </mc:Fallback>
    </mc:AlternateContent>
    <mc:AlternateContent xmlns:mc="http://schemas.openxmlformats.org/markup-compatibility/2006">
      <mc:Choice Requires="x14">
        <control shapeId="1160" r:id="rId304" name="CheckBox134">
          <controlPr autoLine="0" r:id="rId30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60" r:id="rId304" name="CheckBox134"/>
      </mc:Fallback>
    </mc:AlternateContent>
    <mc:AlternateContent xmlns:mc="http://schemas.openxmlformats.org/markup-compatibility/2006">
      <mc:Choice Requires="x14">
        <control shapeId="1159" r:id="rId306" name="CheckBox133">
          <controlPr autoLine="0" r:id="rId30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9" r:id="rId306" name="CheckBox133"/>
      </mc:Fallback>
    </mc:AlternateContent>
    <mc:AlternateContent xmlns:mc="http://schemas.openxmlformats.org/markup-compatibility/2006">
      <mc:Choice Requires="x14">
        <control shapeId="1158" r:id="rId308" name="CheckBox132">
          <controlPr autoLine="0" r:id="rId30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8" r:id="rId308" name="CheckBox132"/>
      </mc:Fallback>
    </mc:AlternateContent>
    <mc:AlternateContent xmlns:mc="http://schemas.openxmlformats.org/markup-compatibility/2006">
      <mc:Choice Requires="x14">
        <control shapeId="1157" r:id="rId310" name="CheckBox131">
          <controlPr autoLine="0" r:id="rId31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7" r:id="rId310" name="CheckBox131"/>
      </mc:Fallback>
    </mc:AlternateContent>
    <mc:AlternateContent xmlns:mc="http://schemas.openxmlformats.org/markup-compatibility/2006">
      <mc:Choice Requires="x14">
        <control shapeId="1156" r:id="rId312" name="CheckBox130">
          <controlPr autoLine="0" r:id="rId31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6" r:id="rId312" name="CheckBox130"/>
      </mc:Fallback>
    </mc:AlternateContent>
    <mc:AlternateContent xmlns:mc="http://schemas.openxmlformats.org/markup-compatibility/2006">
      <mc:Choice Requires="x14">
        <control shapeId="1155" r:id="rId314" name="CheckBox129">
          <controlPr autoLine="0" r:id="rId31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5" r:id="rId314" name="CheckBox129"/>
      </mc:Fallback>
    </mc:AlternateContent>
    <mc:AlternateContent xmlns:mc="http://schemas.openxmlformats.org/markup-compatibility/2006">
      <mc:Choice Requires="x14">
        <control shapeId="1154" r:id="rId316" name="CheckBox128">
          <controlPr autoLine="0" r:id="rId31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4" r:id="rId316" name="CheckBox128"/>
      </mc:Fallback>
    </mc:AlternateContent>
    <mc:AlternateContent xmlns:mc="http://schemas.openxmlformats.org/markup-compatibility/2006">
      <mc:Choice Requires="x14">
        <control shapeId="1153" r:id="rId318" name="CheckBox127">
          <controlPr autoLine="0" r:id="rId31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3" r:id="rId318" name="CheckBox127"/>
      </mc:Fallback>
    </mc:AlternateContent>
    <mc:AlternateContent xmlns:mc="http://schemas.openxmlformats.org/markup-compatibility/2006">
      <mc:Choice Requires="x14">
        <control shapeId="1152" r:id="rId320" name="CheckBox126">
          <controlPr autoLine="0" r:id="rId32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2" r:id="rId320" name="CheckBox126"/>
      </mc:Fallback>
    </mc:AlternateContent>
    <mc:AlternateContent xmlns:mc="http://schemas.openxmlformats.org/markup-compatibility/2006">
      <mc:Choice Requires="x14">
        <control shapeId="1151" r:id="rId322" name="CheckBox125">
          <controlPr autoLine="0" r:id="rId32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1" r:id="rId322" name="CheckBox125"/>
      </mc:Fallback>
    </mc:AlternateContent>
    <mc:AlternateContent xmlns:mc="http://schemas.openxmlformats.org/markup-compatibility/2006">
      <mc:Choice Requires="x14">
        <control shapeId="1150" r:id="rId324" name="CheckBox124">
          <controlPr autoLine="0" r:id="rId32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50" r:id="rId324" name="CheckBox124"/>
      </mc:Fallback>
    </mc:AlternateContent>
    <mc:AlternateContent xmlns:mc="http://schemas.openxmlformats.org/markup-compatibility/2006">
      <mc:Choice Requires="x14">
        <control shapeId="1149" r:id="rId326" name="CheckBox123">
          <controlPr autoLine="0" r:id="rId32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9" r:id="rId326" name="CheckBox123"/>
      </mc:Fallback>
    </mc:AlternateContent>
    <mc:AlternateContent xmlns:mc="http://schemas.openxmlformats.org/markup-compatibility/2006">
      <mc:Choice Requires="x14">
        <control shapeId="1148" r:id="rId328" name="CheckBox122">
          <controlPr autoLine="0" r:id="rId32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8" r:id="rId328" name="CheckBox122"/>
      </mc:Fallback>
    </mc:AlternateContent>
    <mc:AlternateContent xmlns:mc="http://schemas.openxmlformats.org/markup-compatibility/2006">
      <mc:Choice Requires="x14">
        <control shapeId="1147" r:id="rId330" name="CheckBox121">
          <controlPr autoLine="0" r:id="rId33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7" r:id="rId330" name="CheckBox121"/>
      </mc:Fallback>
    </mc:AlternateContent>
    <mc:AlternateContent xmlns:mc="http://schemas.openxmlformats.org/markup-compatibility/2006">
      <mc:Choice Requires="x14">
        <control shapeId="1146" r:id="rId332" name="CheckBox120">
          <controlPr autoLine="0" r:id="rId33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6" r:id="rId332" name="CheckBox120"/>
      </mc:Fallback>
    </mc:AlternateContent>
    <mc:AlternateContent xmlns:mc="http://schemas.openxmlformats.org/markup-compatibility/2006">
      <mc:Choice Requires="x14">
        <control shapeId="1145" r:id="rId334" name="CheckBox119">
          <controlPr autoLine="0" r:id="rId33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5" r:id="rId334" name="CheckBox119"/>
      </mc:Fallback>
    </mc:AlternateContent>
    <mc:AlternateContent xmlns:mc="http://schemas.openxmlformats.org/markup-compatibility/2006">
      <mc:Choice Requires="x14">
        <control shapeId="1144" r:id="rId336" name="CheckBox118">
          <controlPr autoLine="0" r:id="rId33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4" r:id="rId336" name="CheckBox118"/>
      </mc:Fallback>
    </mc:AlternateContent>
    <mc:AlternateContent xmlns:mc="http://schemas.openxmlformats.org/markup-compatibility/2006">
      <mc:Choice Requires="x14">
        <control shapeId="1143" r:id="rId338" name="CheckBox117">
          <controlPr autoLine="0" r:id="rId33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3" r:id="rId338" name="CheckBox117"/>
      </mc:Fallback>
    </mc:AlternateContent>
    <mc:AlternateContent xmlns:mc="http://schemas.openxmlformats.org/markup-compatibility/2006">
      <mc:Choice Requires="x14">
        <control shapeId="1142" r:id="rId340" name="CheckBox116">
          <controlPr autoLine="0" r:id="rId34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2" r:id="rId340" name="CheckBox116"/>
      </mc:Fallback>
    </mc:AlternateContent>
    <mc:AlternateContent xmlns:mc="http://schemas.openxmlformats.org/markup-compatibility/2006">
      <mc:Choice Requires="x14">
        <control shapeId="1141" r:id="rId342" name="CheckBox115">
          <controlPr autoLine="0" r:id="rId34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1" r:id="rId342" name="CheckBox115"/>
      </mc:Fallback>
    </mc:AlternateContent>
    <mc:AlternateContent xmlns:mc="http://schemas.openxmlformats.org/markup-compatibility/2006">
      <mc:Choice Requires="x14">
        <control shapeId="1140" r:id="rId344" name="CheckBox114">
          <controlPr autoLine="0" r:id="rId34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40" r:id="rId344" name="CheckBox114"/>
      </mc:Fallback>
    </mc:AlternateContent>
    <mc:AlternateContent xmlns:mc="http://schemas.openxmlformats.org/markup-compatibility/2006">
      <mc:Choice Requires="x14">
        <control shapeId="1139" r:id="rId346" name="CheckBox113">
          <controlPr autoLine="0" r:id="rId34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9" r:id="rId346" name="CheckBox113"/>
      </mc:Fallback>
    </mc:AlternateContent>
    <mc:AlternateContent xmlns:mc="http://schemas.openxmlformats.org/markup-compatibility/2006">
      <mc:Choice Requires="x14">
        <control shapeId="1138" r:id="rId348" name="CheckBox112">
          <controlPr autoLine="0" r:id="rId34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8" r:id="rId348" name="CheckBox112"/>
      </mc:Fallback>
    </mc:AlternateContent>
    <mc:AlternateContent xmlns:mc="http://schemas.openxmlformats.org/markup-compatibility/2006">
      <mc:Choice Requires="x14">
        <control shapeId="1137" r:id="rId350" name="CheckBox111">
          <controlPr autoLine="0" r:id="rId35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7" r:id="rId350" name="CheckBox111"/>
      </mc:Fallback>
    </mc:AlternateContent>
    <mc:AlternateContent xmlns:mc="http://schemas.openxmlformats.org/markup-compatibility/2006">
      <mc:Choice Requires="x14">
        <control shapeId="1136" r:id="rId352" name="CheckBox110">
          <controlPr autoLine="0" r:id="rId35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6" r:id="rId352" name="CheckBox110"/>
      </mc:Fallback>
    </mc:AlternateContent>
    <mc:AlternateContent xmlns:mc="http://schemas.openxmlformats.org/markup-compatibility/2006">
      <mc:Choice Requires="x14">
        <control shapeId="1135" r:id="rId354" name="CheckBox109">
          <controlPr autoLine="0" r:id="rId35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5" r:id="rId354" name="CheckBox109"/>
      </mc:Fallback>
    </mc:AlternateContent>
    <mc:AlternateContent xmlns:mc="http://schemas.openxmlformats.org/markup-compatibility/2006">
      <mc:Choice Requires="x14">
        <control shapeId="1134" r:id="rId356" name="CheckBox108">
          <controlPr autoLine="0" r:id="rId35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4" r:id="rId356" name="CheckBox108"/>
      </mc:Fallback>
    </mc:AlternateContent>
    <mc:AlternateContent xmlns:mc="http://schemas.openxmlformats.org/markup-compatibility/2006">
      <mc:Choice Requires="x14">
        <control shapeId="1133" r:id="rId358" name="CheckBox107">
          <controlPr autoLine="0" r:id="rId35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3" r:id="rId358" name="CheckBox107"/>
      </mc:Fallback>
    </mc:AlternateContent>
    <mc:AlternateContent xmlns:mc="http://schemas.openxmlformats.org/markup-compatibility/2006">
      <mc:Choice Requires="x14">
        <control shapeId="1132" r:id="rId360" name="CheckBox106">
          <controlPr autoLine="0" r:id="rId36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2" r:id="rId360" name="CheckBox106"/>
      </mc:Fallback>
    </mc:AlternateContent>
    <mc:AlternateContent xmlns:mc="http://schemas.openxmlformats.org/markup-compatibility/2006">
      <mc:Choice Requires="x14">
        <control shapeId="1131" r:id="rId362" name="CheckBox105">
          <controlPr autoLine="0" r:id="rId36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1" r:id="rId362" name="CheckBox105"/>
      </mc:Fallback>
    </mc:AlternateContent>
    <mc:AlternateContent xmlns:mc="http://schemas.openxmlformats.org/markup-compatibility/2006">
      <mc:Choice Requires="x14">
        <control shapeId="1130" r:id="rId364" name="CheckBox104">
          <controlPr autoLine="0" r:id="rId36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30" r:id="rId364" name="CheckBox104"/>
      </mc:Fallback>
    </mc:AlternateContent>
    <mc:AlternateContent xmlns:mc="http://schemas.openxmlformats.org/markup-compatibility/2006">
      <mc:Choice Requires="x14">
        <control shapeId="1129" r:id="rId366" name="CheckBox103">
          <controlPr autoLine="0" r:id="rId36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9" r:id="rId366" name="CheckBox103"/>
      </mc:Fallback>
    </mc:AlternateContent>
    <mc:AlternateContent xmlns:mc="http://schemas.openxmlformats.org/markup-compatibility/2006">
      <mc:Choice Requires="x14">
        <control shapeId="1128" r:id="rId368" name="CheckBox102">
          <controlPr autoLine="0" r:id="rId36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8" r:id="rId368" name="CheckBox102"/>
      </mc:Fallback>
    </mc:AlternateContent>
    <mc:AlternateContent xmlns:mc="http://schemas.openxmlformats.org/markup-compatibility/2006">
      <mc:Choice Requires="x14">
        <control shapeId="1127" r:id="rId370" name="CheckBox101">
          <controlPr autoLine="0" r:id="rId37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7" r:id="rId370" name="CheckBox101"/>
      </mc:Fallback>
    </mc:AlternateContent>
    <mc:AlternateContent xmlns:mc="http://schemas.openxmlformats.org/markup-compatibility/2006">
      <mc:Choice Requires="x14">
        <control shapeId="1126" r:id="rId372" name="CheckBox100">
          <controlPr autoLine="0" r:id="rId37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6" r:id="rId372" name="CheckBox100"/>
      </mc:Fallback>
    </mc:AlternateContent>
    <mc:AlternateContent xmlns:mc="http://schemas.openxmlformats.org/markup-compatibility/2006">
      <mc:Choice Requires="x14">
        <control shapeId="1125" r:id="rId374" name="CheckBox99">
          <controlPr autoLine="0" r:id="rId37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5" r:id="rId374" name="CheckBox99"/>
      </mc:Fallback>
    </mc:AlternateContent>
    <mc:AlternateContent xmlns:mc="http://schemas.openxmlformats.org/markup-compatibility/2006">
      <mc:Choice Requires="x14">
        <control shapeId="1124" r:id="rId376" name="CheckBox98">
          <controlPr autoLine="0" r:id="rId37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4" r:id="rId376" name="CheckBox98"/>
      </mc:Fallback>
    </mc:AlternateContent>
    <mc:AlternateContent xmlns:mc="http://schemas.openxmlformats.org/markup-compatibility/2006">
      <mc:Choice Requires="x14">
        <control shapeId="1123" r:id="rId378" name="CheckBox97">
          <controlPr autoLine="0" r:id="rId37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3" r:id="rId378" name="CheckBox97"/>
      </mc:Fallback>
    </mc:AlternateContent>
    <mc:AlternateContent xmlns:mc="http://schemas.openxmlformats.org/markup-compatibility/2006">
      <mc:Choice Requires="x14">
        <control shapeId="1122" r:id="rId380" name="CheckBox96">
          <controlPr autoLine="0" r:id="rId38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2" r:id="rId380" name="CheckBox96"/>
      </mc:Fallback>
    </mc:AlternateContent>
    <mc:AlternateContent xmlns:mc="http://schemas.openxmlformats.org/markup-compatibility/2006">
      <mc:Choice Requires="x14">
        <control shapeId="1121" r:id="rId382" name="CheckBox95">
          <controlPr autoLine="0" r:id="rId38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1" r:id="rId382" name="CheckBox95"/>
      </mc:Fallback>
    </mc:AlternateContent>
    <mc:AlternateContent xmlns:mc="http://schemas.openxmlformats.org/markup-compatibility/2006">
      <mc:Choice Requires="x14">
        <control shapeId="1120" r:id="rId384" name="CheckBox94">
          <controlPr autoLine="0" r:id="rId38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20" r:id="rId384" name="CheckBox94"/>
      </mc:Fallback>
    </mc:AlternateContent>
    <mc:AlternateContent xmlns:mc="http://schemas.openxmlformats.org/markup-compatibility/2006">
      <mc:Choice Requires="x14">
        <control shapeId="1119" r:id="rId386" name="CheckBox93">
          <controlPr autoLine="0" r:id="rId38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9" r:id="rId386" name="CheckBox93"/>
      </mc:Fallback>
    </mc:AlternateContent>
    <mc:AlternateContent xmlns:mc="http://schemas.openxmlformats.org/markup-compatibility/2006">
      <mc:Choice Requires="x14">
        <control shapeId="1118" r:id="rId388" name="CheckBox92">
          <controlPr autoLine="0" r:id="rId38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8" r:id="rId388" name="CheckBox92"/>
      </mc:Fallback>
    </mc:AlternateContent>
    <mc:AlternateContent xmlns:mc="http://schemas.openxmlformats.org/markup-compatibility/2006">
      <mc:Choice Requires="x14">
        <control shapeId="1117" r:id="rId390" name="CheckBox91">
          <controlPr autoLine="0" r:id="rId39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7" r:id="rId390" name="CheckBox91"/>
      </mc:Fallback>
    </mc:AlternateContent>
    <mc:AlternateContent xmlns:mc="http://schemas.openxmlformats.org/markup-compatibility/2006">
      <mc:Choice Requires="x14">
        <control shapeId="1116" r:id="rId392" name="CheckBox90">
          <controlPr autoLine="0" r:id="rId39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6" r:id="rId392" name="CheckBox90"/>
      </mc:Fallback>
    </mc:AlternateContent>
    <mc:AlternateContent xmlns:mc="http://schemas.openxmlformats.org/markup-compatibility/2006">
      <mc:Choice Requires="x14">
        <control shapeId="1115" r:id="rId394" name="CheckBox89">
          <controlPr autoLine="0" r:id="rId39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5" r:id="rId394" name="CheckBox89"/>
      </mc:Fallback>
    </mc:AlternateContent>
    <mc:AlternateContent xmlns:mc="http://schemas.openxmlformats.org/markup-compatibility/2006">
      <mc:Choice Requires="x14">
        <control shapeId="1114" r:id="rId396" name="CheckBox88">
          <controlPr autoLine="0" r:id="rId39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4" r:id="rId396" name="CheckBox88"/>
      </mc:Fallback>
    </mc:AlternateContent>
    <mc:AlternateContent xmlns:mc="http://schemas.openxmlformats.org/markup-compatibility/2006">
      <mc:Choice Requires="x14">
        <control shapeId="1113" r:id="rId398" name="CheckBox87">
          <controlPr autoLine="0" r:id="rId39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3" r:id="rId398" name="CheckBox87"/>
      </mc:Fallback>
    </mc:AlternateContent>
    <mc:AlternateContent xmlns:mc="http://schemas.openxmlformats.org/markup-compatibility/2006">
      <mc:Choice Requires="x14">
        <control shapeId="1112" r:id="rId400" name="CheckBox86">
          <controlPr autoLine="0" r:id="rId40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2" r:id="rId400" name="CheckBox86"/>
      </mc:Fallback>
    </mc:AlternateContent>
    <mc:AlternateContent xmlns:mc="http://schemas.openxmlformats.org/markup-compatibility/2006">
      <mc:Choice Requires="x14">
        <control shapeId="1111" r:id="rId402" name="CheckBox85">
          <controlPr autoLine="0" r:id="rId40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1" r:id="rId402" name="CheckBox85"/>
      </mc:Fallback>
    </mc:AlternateContent>
    <mc:AlternateContent xmlns:mc="http://schemas.openxmlformats.org/markup-compatibility/2006">
      <mc:Choice Requires="x14">
        <control shapeId="1110" r:id="rId404" name="CheckBox84">
          <controlPr autoLine="0" r:id="rId40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10" r:id="rId404" name="CheckBox84"/>
      </mc:Fallback>
    </mc:AlternateContent>
    <mc:AlternateContent xmlns:mc="http://schemas.openxmlformats.org/markup-compatibility/2006">
      <mc:Choice Requires="x14">
        <control shapeId="1109" r:id="rId406" name="CheckBox83">
          <controlPr autoLine="0" r:id="rId40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9" r:id="rId406" name="CheckBox83"/>
      </mc:Fallback>
    </mc:AlternateContent>
    <mc:AlternateContent xmlns:mc="http://schemas.openxmlformats.org/markup-compatibility/2006">
      <mc:Choice Requires="x14">
        <control shapeId="1108" r:id="rId408" name="CheckBox82">
          <controlPr autoLine="0" r:id="rId40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8" r:id="rId408" name="CheckBox82"/>
      </mc:Fallback>
    </mc:AlternateContent>
    <mc:AlternateContent xmlns:mc="http://schemas.openxmlformats.org/markup-compatibility/2006">
      <mc:Choice Requires="x14">
        <control shapeId="1107" r:id="rId410" name="CheckBox81">
          <controlPr autoLine="0" r:id="rId41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7" r:id="rId410" name="CheckBox81"/>
      </mc:Fallback>
    </mc:AlternateContent>
    <mc:AlternateContent xmlns:mc="http://schemas.openxmlformats.org/markup-compatibility/2006">
      <mc:Choice Requires="x14">
        <control shapeId="1106" r:id="rId412" name="CheckBox80">
          <controlPr autoLine="0" r:id="rId41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6" r:id="rId412" name="CheckBox80"/>
      </mc:Fallback>
    </mc:AlternateContent>
    <mc:AlternateContent xmlns:mc="http://schemas.openxmlformats.org/markup-compatibility/2006">
      <mc:Choice Requires="x14">
        <control shapeId="1105" r:id="rId414" name="CheckBox79">
          <controlPr autoLine="0" r:id="rId41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5" r:id="rId414" name="CheckBox79"/>
      </mc:Fallback>
    </mc:AlternateContent>
    <mc:AlternateContent xmlns:mc="http://schemas.openxmlformats.org/markup-compatibility/2006">
      <mc:Choice Requires="x14">
        <control shapeId="1104" r:id="rId416" name="CheckBox78">
          <controlPr autoLine="0" r:id="rId41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4" r:id="rId416" name="CheckBox78"/>
      </mc:Fallback>
    </mc:AlternateContent>
    <mc:AlternateContent xmlns:mc="http://schemas.openxmlformats.org/markup-compatibility/2006">
      <mc:Choice Requires="x14">
        <control shapeId="1103" r:id="rId418" name="CheckBox77">
          <controlPr autoLine="0" r:id="rId41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3" r:id="rId418" name="CheckBox77"/>
      </mc:Fallback>
    </mc:AlternateContent>
    <mc:AlternateContent xmlns:mc="http://schemas.openxmlformats.org/markup-compatibility/2006">
      <mc:Choice Requires="x14">
        <control shapeId="1102" r:id="rId420" name="CheckBox76">
          <controlPr autoLine="0" r:id="rId42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2" r:id="rId420" name="CheckBox76"/>
      </mc:Fallback>
    </mc:AlternateContent>
    <mc:AlternateContent xmlns:mc="http://schemas.openxmlformats.org/markup-compatibility/2006">
      <mc:Choice Requires="x14">
        <control shapeId="1101" r:id="rId422" name="CheckBox75">
          <controlPr autoLine="0" r:id="rId42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1" r:id="rId422" name="CheckBox75"/>
      </mc:Fallback>
    </mc:AlternateContent>
    <mc:AlternateContent xmlns:mc="http://schemas.openxmlformats.org/markup-compatibility/2006">
      <mc:Choice Requires="x14">
        <control shapeId="1100" r:id="rId424" name="CheckBox74">
          <controlPr autoLine="0" r:id="rId42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100" r:id="rId424" name="CheckBox74"/>
      </mc:Fallback>
    </mc:AlternateContent>
    <mc:AlternateContent xmlns:mc="http://schemas.openxmlformats.org/markup-compatibility/2006">
      <mc:Choice Requires="x14">
        <control shapeId="1099" r:id="rId426" name="CheckBox73">
          <controlPr autoLine="0" r:id="rId42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9" r:id="rId426" name="CheckBox73"/>
      </mc:Fallback>
    </mc:AlternateContent>
    <mc:AlternateContent xmlns:mc="http://schemas.openxmlformats.org/markup-compatibility/2006">
      <mc:Choice Requires="x14">
        <control shapeId="1098" r:id="rId428" name="CheckBox72">
          <controlPr autoLine="0" r:id="rId42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8" r:id="rId428" name="CheckBox72"/>
      </mc:Fallback>
    </mc:AlternateContent>
    <mc:AlternateContent xmlns:mc="http://schemas.openxmlformats.org/markup-compatibility/2006">
      <mc:Choice Requires="x14">
        <control shapeId="1097" r:id="rId430" name="CheckBox71">
          <controlPr autoLine="0" r:id="rId431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7" r:id="rId430" name="CheckBox71"/>
      </mc:Fallback>
    </mc:AlternateContent>
    <mc:AlternateContent xmlns:mc="http://schemas.openxmlformats.org/markup-compatibility/2006">
      <mc:Choice Requires="x14">
        <control shapeId="1096" r:id="rId432" name="CheckBox70">
          <controlPr autoLine="0" r:id="rId433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6" r:id="rId432" name="CheckBox70"/>
      </mc:Fallback>
    </mc:AlternateContent>
    <mc:AlternateContent xmlns:mc="http://schemas.openxmlformats.org/markup-compatibility/2006">
      <mc:Choice Requires="x14">
        <control shapeId="1095" r:id="rId434" name="CheckBox69">
          <controlPr autoLine="0" r:id="rId435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5" r:id="rId434" name="CheckBox69"/>
      </mc:Fallback>
    </mc:AlternateContent>
    <mc:AlternateContent xmlns:mc="http://schemas.openxmlformats.org/markup-compatibility/2006">
      <mc:Choice Requires="x14">
        <control shapeId="1094" r:id="rId436" name="CheckBox68">
          <controlPr autoLine="0" r:id="rId437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4" r:id="rId436" name="CheckBox68"/>
      </mc:Fallback>
    </mc:AlternateContent>
    <mc:AlternateContent xmlns:mc="http://schemas.openxmlformats.org/markup-compatibility/2006">
      <mc:Choice Requires="x14">
        <control shapeId="1093" r:id="rId438" name="CheckBox67">
          <controlPr autoLine="0" r:id="rId439">
            <anchor moveWithCells="1">
              <from>
                <xdr:col>16</xdr:col>
                <xdr:colOff>0</xdr:colOff>
                <xdr:row>112</xdr:row>
                <xdr:rowOff>0</xdr:rowOff>
              </from>
              <to>
                <xdr:col>17</xdr:col>
                <xdr:colOff>0</xdr:colOff>
                <xdr:row>113</xdr:row>
                <xdr:rowOff>7620</xdr:rowOff>
              </to>
            </anchor>
          </controlPr>
        </control>
      </mc:Choice>
      <mc:Fallback>
        <control shapeId="1093" r:id="rId438" name="CheckBox67"/>
      </mc:Fallback>
    </mc:AlternateContent>
    <mc:AlternateContent xmlns:mc="http://schemas.openxmlformats.org/markup-compatibility/2006">
      <mc:Choice Requires="x14">
        <control shapeId="1025" r:id="rId440" name="Check Box 1">
          <controlPr defaultSize="0" autoFill="0" autoLine="0" autoPict="0">
            <anchor moveWithCells="1">
              <from>
                <xdr:col>16</xdr:col>
                <xdr:colOff>0</xdr:colOff>
                <xdr:row>2</xdr:row>
                <xdr:rowOff>30480</xdr:rowOff>
              </from>
              <to>
                <xdr:col>16</xdr:col>
                <xdr:colOff>175260</xdr:colOff>
                <xdr:row>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441" name="Button 2">
          <controlPr defaultSize="0" print="0" autoFill="0" autoPict="0" macro="[0]!Showuserform">
            <anchor moveWithCells="1" sizeWithCells="1">
              <from>
                <xdr:col>0</xdr:col>
                <xdr:colOff>22860</xdr:colOff>
                <xdr:row>0</xdr:row>
                <xdr:rowOff>45720</xdr:rowOff>
              </from>
              <to>
                <xdr:col>2</xdr:col>
                <xdr:colOff>998220</xdr:colOff>
                <xdr:row>0</xdr:row>
                <xdr:rowOff>320040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442" name="Button 288">
          <controlPr defaultSize="0" print="0" autoFill="0" autoPict="0" macro="[0]!izbris">
            <anchor moveWithCells="1" sizeWithCells="1">
              <from>
                <xdr:col>2</xdr:col>
                <xdr:colOff>1104900</xdr:colOff>
                <xdr:row>0</xdr:row>
                <xdr:rowOff>45720</xdr:rowOff>
              </from>
              <to>
                <xdr:col>5</xdr:col>
                <xdr:colOff>586740</xdr:colOff>
                <xdr:row>0</xdr:row>
                <xdr:rowOff>320040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443" name="Check Box 289">
          <controlPr defaultSize="0" autoFill="0" autoLine="0" autoPict="0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16</xdr:col>
                <xdr:colOff>175260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444" name="Check Box 290">
          <controlPr defaultSize="0" autoFill="0" autoLine="0" autoPict="0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16</xdr:col>
                <xdr:colOff>175260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445" name="Check Box 291">
          <controlPr defaultSize="0" autoFill="0" autoLine="0" autoPict="0">
            <anchor moveWithCells="1">
              <from>
                <xdr:col>16</xdr:col>
                <xdr:colOff>0</xdr:colOff>
                <xdr:row>3</xdr:row>
                <xdr:rowOff>0</xdr:rowOff>
              </from>
              <to>
                <xdr:col>16</xdr:col>
                <xdr:colOff>175260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" r:id="rId446" name="Check Box 296">
          <controlPr defaultSize="0" autoFill="0" autoLine="0" autoPict="0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16</xdr:col>
                <xdr:colOff>175260</xdr:colOff>
                <xdr:row>4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" r:id="rId447" name="Check Box 297">
          <controlPr defaultSize="0" autoFill="0" autoLine="0" autoPict="0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16</xdr:col>
                <xdr:colOff>175260</xdr:colOff>
                <xdr:row>4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" r:id="rId448" name="Check Box 298">
          <controlPr defaultSize="0" autoFill="0" autoLine="0" autoPict="0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16</xdr:col>
                <xdr:colOff>175260</xdr:colOff>
                <xdr:row>4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" r:id="rId449" name="Check Box 299">
          <controlPr defaultSize="0" autoFill="0" autoLine="0" autoPict="0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16</xdr:col>
                <xdr:colOff>175260</xdr:colOff>
                <xdr:row>4</xdr:row>
                <xdr:rowOff>175260</xdr:rowOff>
              </to>
            </anchor>
          </controlPr>
        </control>
      </mc:Choice>
    </mc:AlternateContent>
  </controls>
  <tableParts count="1">
    <tablePart r:id="rId45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370"/>
  <sheetViews>
    <sheetView showGridLines="0" topLeftCell="Y1" zoomScaleNormal="100" workbookViewId="0">
      <selection activeCell="AD7" sqref="AD7"/>
    </sheetView>
  </sheetViews>
  <sheetFormatPr defaultRowHeight="14.4" x14ac:dyDescent="0.3"/>
  <cols>
    <col min="1" max="1" width="0.6640625" customWidth="1"/>
    <col min="2" max="2" width="2" style="1" customWidth="1"/>
    <col min="3" max="4" width="4" customWidth="1"/>
    <col min="5" max="17" width="4" style="1" customWidth="1"/>
    <col min="18" max="24" width="4" customWidth="1"/>
    <col min="25" max="26" width="4" style="1" customWidth="1"/>
    <col min="27" max="27" width="2.5546875" style="1" customWidth="1"/>
    <col min="28" max="28" width="0.6640625" customWidth="1"/>
    <col min="29" max="29" width="6.109375" customWidth="1"/>
    <col min="30" max="30" width="42.6640625" customWidth="1"/>
    <col min="31" max="31" width="10.33203125" customWidth="1"/>
    <col min="32" max="32" width="10.33203125" style="31" customWidth="1"/>
    <col min="34" max="34" width="8.88671875" style="44"/>
    <col min="35" max="35" width="11.44140625" customWidth="1"/>
    <col min="36" max="36" width="10.6640625" customWidth="1"/>
    <col min="37" max="37" width="8.88671875" style="1"/>
    <col min="38" max="38" width="5.77734375" customWidth="1"/>
    <col min="39" max="39" width="3.88671875" customWidth="1"/>
    <col min="40" max="40" width="14.33203125" customWidth="1"/>
    <col min="41" max="41" width="13.6640625" customWidth="1"/>
  </cols>
  <sheetData>
    <row r="1" spans="1:41" ht="3.6" customHeigh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</row>
    <row r="2" spans="1:41" s="1" customFormat="1" ht="24.6" customHeight="1" x14ac:dyDescent="0.3">
      <c r="A2" s="17"/>
      <c r="B2" s="17"/>
      <c r="C2" s="93">
        <v>3</v>
      </c>
      <c r="D2" s="93"/>
      <c r="E2" s="17"/>
      <c r="F2" s="17"/>
      <c r="G2" s="17"/>
      <c r="H2" s="17"/>
      <c r="I2" s="17"/>
      <c r="J2" s="17"/>
      <c r="K2" s="98" t="str">
        <f>VLOOKUP(C2,Dela!A3:C112,3,)</f>
        <v>Ardens</v>
      </c>
      <c r="L2" s="98"/>
      <c r="M2" s="98"/>
      <c r="N2" s="98"/>
      <c r="O2" s="98"/>
      <c r="P2" s="98"/>
      <c r="Q2" s="98"/>
      <c r="R2" s="98"/>
      <c r="S2" s="17"/>
      <c r="T2" s="17"/>
      <c r="U2" s="17"/>
      <c r="V2" s="17"/>
      <c r="W2" s="17"/>
      <c r="X2" s="17"/>
      <c r="Y2" s="17"/>
      <c r="Z2" s="17"/>
      <c r="AA2" s="17"/>
      <c r="AB2" s="17"/>
      <c r="AF2" s="31"/>
      <c r="AH2" s="44"/>
    </row>
    <row r="3" spans="1:41" s="1" customFormat="1" ht="21" customHeight="1" x14ac:dyDescent="0.3">
      <c r="A3" s="17"/>
      <c r="B3" s="17"/>
      <c r="C3" s="93"/>
      <c r="D3" s="93"/>
      <c r="E3" s="17"/>
      <c r="F3" s="88">
        <f>VLOOKUP(C2,Dela!A3:B112,2,)</f>
        <v>43863</v>
      </c>
      <c r="G3" s="88"/>
      <c r="H3" s="88"/>
      <c r="I3" s="88"/>
      <c r="J3" s="17"/>
      <c r="K3" s="98"/>
      <c r="L3" s="98"/>
      <c r="M3" s="98"/>
      <c r="N3" s="98"/>
      <c r="O3" s="98"/>
      <c r="P3" s="98"/>
      <c r="Q3" s="98"/>
      <c r="R3" s="98"/>
      <c r="S3" s="17"/>
      <c r="T3" s="17"/>
      <c r="U3" s="17"/>
      <c r="V3" s="18"/>
      <c r="W3" s="18"/>
      <c r="X3" s="18"/>
      <c r="Y3" s="18"/>
      <c r="Z3" s="18"/>
      <c r="AA3" s="18"/>
      <c r="AB3" s="17"/>
      <c r="AF3" s="69" t="s">
        <v>489</v>
      </c>
      <c r="AG3" s="37" t="s">
        <v>490</v>
      </c>
      <c r="AH3" s="37" t="s">
        <v>491</v>
      </c>
      <c r="AI3" s="37" t="s">
        <v>492</v>
      </c>
      <c r="AJ3" s="37" t="s">
        <v>493</v>
      </c>
      <c r="AK3" s="37" t="s">
        <v>494</v>
      </c>
      <c r="AN3" s="13"/>
    </row>
    <row r="4" spans="1:41" s="1" customFormat="1" ht="3.6" customHeight="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F4" s="31"/>
      <c r="AH4" s="44"/>
    </row>
    <row r="5" spans="1:41" ht="3.6" customHeight="1" x14ac:dyDescent="0.3">
      <c r="B5" s="12"/>
      <c r="P5"/>
      <c r="Y5"/>
      <c r="AA5"/>
    </row>
    <row r="6" spans="1:41" ht="3.6" customHeigh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</row>
    <row r="7" spans="1:41" s="1" customFormat="1" ht="14.4" customHeight="1" x14ac:dyDescent="0.6">
      <c r="A7" s="17"/>
      <c r="B7" s="12"/>
      <c r="C7" s="19"/>
      <c r="U7" s="16"/>
      <c r="V7" s="16"/>
      <c r="W7" s="16"/>
      <c r="AB7" s="17"/>
      <c r="AF7" s="31"/>
      <c r="AH7" s="44"/>
    </row>
    <row r="8" spans="1:41" ht="18" customHeight="1" x14ac:dyDescent="0.3">
      <c r="A8" s="17"/>
      <c r="B8" s="12"/>
      <c r="C8" s="90" t="s">
        <v>174</v>
      </c>
      <c r="D8" s="90"/>
      <c r="E8" s="90"/>
      <c r="F8" s="94" t="str">
        <f>VLOOKUP(C2,Dela!A3:D112,4,)</f>
        <v>test1</v>
      </c>
      <c r="G8" s="94"/>
      <c r="H8" s="94"/>
      <c r="I8" s="94"/>
      <c r="J8" s="94"/>
      <c r="K8" s="94"/>
      <c r="L8" s="94"/>
      <c r="M8" s="94"/>
      <c r="N8" s="94"/>
      <c r="O8" s="63"/>
      <c r="P8" s="76"/>
      <c r="Q8" s="76"/>
      <c r="R8" s="76"/>
      <c r="S8" s="12" t="s">
        <v>175</v>
      </c>
      <c r="T8" s="90"/>
      <c r="U8" s="90"/>
      <c r="V8" s="90"/>
      <c r="W8" s="90"/>
      <c r="X8" s="90"/>
      <c r="Y8" s="90"/>
      <c r="Z8" s="63"/>
      <c r="AB8" s="17"/>
      <c r="AD8" s="43" t="s">
        <v>469</v>
      </c>
      <c r="AE8" s="43" t="s">
        <v>470</v>
      </c>
      <c r="AF8" s="70" t="s">
        <v>377</v>
      </c>
      <c r="AG8" s="62" t="s">
        <v>486</v>
      </c>
      <c r="AH8" s="62" t="s">
        <v>471</v>
      </c>
      <c r="AI8" s="62" t="s">
        <v>1</v>
      </c>
      <c r="AJ8" s="62" t="s">
        <v>487</v>
      </c>
      <c r="AK8" s="43" t="s">
        <v>488</v>
      </c>
    </row>
    <row r="9" spans="1:41" s="1" customFormat="1" ht="7.8" customHeight="1" x14ac:dyDescent="0.3">
      <c r="A9" s="17"/>
      <c r="B9" s="12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17"/>
      <c r="V9" s="17"/>
      <c r="W9" s="77"/>
      <c r="X9" s="77"/>
      <c r="Y9" s="77"/>
      <c r="Z9" s="77"/>
      <c r="AB9" s="17"/>
      <c r="AF9" s="31"/>
      <c r="AH9" s="44"/>
    </row>
    <row r="10" spans="1:41" ht="14.4" customHeight="1" x14ac:dyDescent="0.3">
      <c r="A10" s="17"/>
      <c r="B10" s="12"/>
      <c r="AB10" s="17"/>
      <c r="AD10" s="33" t="s">
        <v>182</v>
      </c>
      <c r="AE10" s="34">
        <v>20</v>
      </c>
      <c r="AF10" s="71"/>
      <c r="AG10" s="36"/>
      <c r="AH10" s="67"/>
      <c r="AI10" s="68"/>
      <c r="AJ10" s="52">
        <f t="shared" ref="AJ10:AJ73" si="0">SUM(AG10*AE10)</f>
        <v>0</v>
      </c>
      <c r="AK10" s="34">
        <f>SUM(AE10*AF10)</f>
        <v>0</v>
      </c>
      <c r="AM10" s="45"/>
      <c r="AN10" s="47" t="s">
        <v>376</v>
      </c>
      <c r="AO10" s="47">
        <f t="shared" ref="AO10:AO15" si="1">SUMIFS(AJ10:AJ356,AH10:AH356,AN10)</f>
        <v>0</v>
      </c>
    </row>
    <row r="11" spans="1:41" s="1" customFormat="1" ht="14.4" customHeight="1" x14ac:dyDescent="0.3">
      <c r="A11" s="17"/>
      <c r="B11" s="12"/>
      <c r="E11" s="95" t="s">
        <v>5</v>
      </c>
      <c r="F11" s="95"/>
      <c r="G11" s="96"/>
      <c r="H11" s="97" t="s">
        <v>6</v>
      </c>
      <c r="I11" s="95"/>
      <c r="J11" s="96"/>
      <c r="K11" s="97" t="s">
        <v>36</v>
      </c>
      <c r="L11" s="95"/>
      <c r="M11" s="96"/>
      <c r="N11" s="95" t="s">
        <v>35</v>
      </c>
      <c r="O11" s="95"/>
      <c r="P11" s="95"/>
      <c r="AB11" s="17"/>
      <c r="AD11" s="35" t="s">
        <v>183</v>
      </c>
      <c r="AE11" s="52">
        <v>12</v>
      </c>
      <c r="AF11" s="71"/>
      <c r="AG11" s="36"/>
      <c r="AH11" s="67"/>
      <c r="AI11" s="68"/>
      <c r="AJ11" s="52">
        <v>0</v>
      </c>
      <c r="AK11" s="34">
        <f t="shared" ref="AK11:AK74" si="2">SUM(AE11*AF11)</f>
        <v>0</v>
      </c>
      <c r="AN11" s="48" t="s">
        <v>472</v>
      </c>
      <c r="AO11" s="48">
        <f t="shared" si="1"/>
        <v>0</v>
      </c>
    </row>
    <row r="12" spans="1:41" s="1" customFormat="1" ht="14.4" customHeight="1" x14ac:dyDescent="0.3">
      <c r="A12" s="17"/>
      <c r="B12" s="12"/>
      <c r="E12" s="89" t="s">
        <v>28</v>
      </c>
      <c r="F12" s="89"/>
      <c r="G12" s="89"/>
      <c r="H12" s="86" t="s">
        <v>165</v>
      </c>
      <c r="I12" s="87"/>
      <c r="J12" s="87"/>
      <c r="K12" s="84" t="s">
        <v>38</v>
      </c>
      <c r="L12" s="85"/>
      <c r="M12" s="85"/>
      <c r="N12" s="91" t="s">
        <v>21</v>
      </c>
      <c r="O12" s="92"/>
      <c r="P12" s="92"/>
      <c r="AB12" s="17"/>
      <c r="AD12" s="35" t="s">
        <v>184</v>
      </c>
      <c r="AE12" s="52">
        <v>8</v>
      </c>
      <c r="AF12" s="71"/>
      <c r="AG12" s="36"/>
      <c r="AH12" s="67"/>
      <c r="AI12" s="68"/>
      <c r="AJ12" s="52">
        <f t="shared" si="0"/>
        <v>0</v>
      </c>
      <c r="AK12" s="34">
        <f t="shared" si="2"/>
        <v>0</v>
      </c>
      <c r="AN12" s="48" t="s">
        <v>473</v>
      </c>
      <c r="AO12" s="48">
        <f t="shared" si="1"/>
        <v>0</v>
      </c>
    </row>
    <row r="13" spans="1:41" ht="14.4" customHeight="1" x14ac:dyDescent="0.3">
      <c r="A13" s="17"/>
      <c r="B13" s="12"/>
      <c r="C13" s="21"/>
      <c r="D13" s="21"/>
      <c r="E13" s="89" t="s">
        <v>18</v>
      </c>
      <c r="F13" s="89"/>
      <c r="G13" s="89"/>
      <c r="H13" s="86" t="s">
        <v>165</v>
      </c>
      <c r="I13" s="87"/>
      <c r="J13" s="87"/>
      <c r="K13" s="84" t="s">
        <v>39</v>
      </c>
      <c r="L13" s="85"/>
      <c r="M13" s="85"/>
      <c r="N13" s="86"/>
      <c r="O13" s="87"/>
      <c r="P13" s="87"/>
      <c r="Y13" s="16"/>
      <c r="Z13" s="16"/>
      <c r="AA13" s="16"/>
      <c r="AB13" s="17"/>
      <c r="AD13" s="36" t="s">
        <v>378</v>
      </c>
      <c r="AE13" s="52">
        <v>1</v>
      </c>
      <c r="AF13" s="71"/>
      <c r="AG13" s="36"/>
      <c r="AH13" s="67"/>
      <c r="AI13" s="68"/>
      <c r="AJ13" s="52">
        <f t="shared" si="0"/>
        <v>0</v>
      </c>
      <c r="AK13" s="34">
        <f t="shared" si="2"/>
        <v>0</v>
      </c>
      <c r="AN13" s="49" t="s">
        <v>474</v>
      </c>
      <c r="AO13" s="48">
        <f t="shared" si="1"/>
        <v>0</v>
      </c>
    </row>
    <row r="14" spans="1:41" ht="14.4" customHeight="1" x14ac:dyDescent="0.3">
      <c r="A14" s="17"/>
      <c r="B14" s="12"/>
      <c r="E14" s="89" t="s">
        <v>27</v>
      </c>
      <c r="F14" s="89"/>
      <c r="G14" s="89"/>
      <c r="H14" s="86" t="s">
        <v>165</v>
      </c>
      <c r="I14" s="87"/>
      <c r="J14" s="87"/>
      <c r="K14" s="84" t="s">
        <v>38</v>
      </c>
      <c r="L14" s="85"/>
      <c r="M14" s="85"/>
      <c r="N14" s="86"/>
      <c r="O14" s="87"/>
      <c r="P14" s="87"/>
      <c r="AB14" s="17"/>
      <c r="AD14" s="36" t="s">
        <v>379</v>
      </c>
      <c r="AE14" s="52">
        <v>12</v>
      </c>
      <c r="AF14" s="71"/>
      <c r="AG14" s="36"/>
      <c r="AH14" s="67"/>
      <c r="AI14" s="68"/>
      <c r="AJ14" s="52">
        <f t="shared" si="0"/>
        <v>0</v>
      </c>
      <c r="AK14" s="34">
        <f t="shared" si="2"/>
        <v>0</v>
      </c>
      <c r="AN14" s="49" t="s">
        <v>475</v>
      </c>
      <c r="AO14" s="48">
        <f t="shared" si="1"/>
        <v>0</v>
      </c>
    </row>
    <row r="15" spans="1:41" x14ac:dyDescent="0.3">
      <c r="A15" s="17"/>
      <c r="B15" s="12"/>
      <c r="E15" s="89" t="s">
        <v>18</v>
      </c>
      <c r="F15" s="89"/>
      <c r="G15" s="89"/>
      <c r="H15" s="86" t="s">
        <v>165</v>
      </c>
      <c r="I15" s="87"/>
      <c r="J15" s="87"/>
      <c r="K15" s="84" t="s">
        <v>38</v>
      </c>
      <c r="L15" s="85"/>
      <c r="M15" s="85"/>
      <c r="N15" s="86"/>
      <c r="O15" s="87"/>
      <c r="P15" s="87"/>
      <c r="AB15" s="17"/>
      <c r="AD15" s="36" t="s">
        <v>380</v>
      </c>
      <c r="AE15" s="52">
        <v>15</v>
      </c>
      <c r="AF15" s="71"/>
      <c r="AG15" s="36"/>
      <c r="AH15" s="67"/>
      <c r="AI15" s="68"/>
      <c r="AJ15" s="52">
        <f t="shared" si="0"/>
        <v>0</v>
      </c>
      <c r="AK15" s="34">
        <f t="shared" si="2"/>
        <v>0</v>
      </c>
      <c r="AN15" s="46" t="s">
        <v>476</v>
      </c>
      <c r="AO15" s="47">
        <f t="shared" si="1"/>
        <v>0</v>
      </c>
    </row>
    <row r="16" spans="1:41" x14ac:dyDescent="0.3">
      <c r="A16" s="17"/>
      <c r="B16" s="12"/>
      <c r="AB16" s="17"/>
      <c r="AD16" s="36" t="s">
        <v>381</v>
      </c>
      <c r="AE16" s="52">
        <v>15</v>
      </c>
      <c r="AF16" s="71"/>
      <c r="AG16" s="36"/>
      <c r="AH16" s="67"/>
      <c r="AI16" s="36"/>
      <c r="AJ16" s="52">
        <f t="shared" si="0"/>
        <v>0</v>
      </c>
      <c r="AK16" s="34">
        <f t="shared" si="2"/>
        <v>0</v>
      </c>
      <c r="AO16" s="13">
        <f>SUM(AO10:AO15)</f>
        <v>0</v>
      </c>
    </row>
    <row r="17" spans="1:41" x14ac:dyDescent="0.3">
      <c r="A17" s="17"/>
      <c r="B17" s="12"/>
      <c r="C17" s="21"/>
      <c r="AB17" s="17"/>
      <c r="AD17" s="36" t="s">
        <v>382</v>
      </c>
      <c r="AE17" s="52">
        <v>10</v>
      </c>
      <c r="AF17" s="71"/>
      <c r="AG17" s="36"/>
      <c r="AH17" s="67"/>
      <c r="AI17" s="68"/>
      <c r="AJ17" s="52">
        <f t="shared" si="0"/>
        <v>0</v>
      </c>
      <c r="AK17" s="34">
        <f t="shared" si="2"/>
        <v>0</v>
      </c>
      <c r="AN17" s="50" t="s">
        <v>480</v>
      </c>
      <c r="AO17" s="51">
        <f>SUM(AK10:AK370)</f>
        <v>0</v>
      </c>
    </row>
    <row r="18" spans="1:41" x14ac:dyDescent="0.3">
      <c r="A18" s="17"/>
      <c r="B18" s="12"/>
      <c r="D18" s="20"/>
      <c r="E18" s="79">
        <v>8</v>
      </c>
      <c r="F18" s="79">
        <v>7</v>
      </c>
      <c r="G18" s="79">
        <v>6</v>
      </c>
      <c r="H18" s="79">
        <v>5</v>
      </c>
      <c r="I18" s="79">
        <v>4</v>
      </c>
      <c r="J18" s="81">
        <v>3</v>
      </c>
      <c r="K18" s="79">
        <v>2</v>
      </c>
      <c r="L18" s="79">
        <v>1</v>
      </c>
      <c r="M18" s="80">
        <v>1</v>
      </c>
      <c r="N18" s="79">
        <v>2</v>
      </c>
      <c r="O18" s="81">
        <v>3</v>
      </c>
      <c r="P18" s="79">
        <v>4</v>
      </c>
      <c r="Q18" s="79">
        <v>5</v>
      </c>
      <c r="R18" s="79">
        <v>6</v>
      </c>
      <c r="S18" s="79">
        <v>7</v>
      </c>
      <c r="T18" s="79">
        <v>8</v>
      </c>
      <c r="AB18" s="17"/>
      <c r="AD18" s="36" t="s">
        <v>383</v>
      </c>
      <c r="AE18" s="52">
        <v>52</v>
      </c>
      <c r="AF18" s="71"/>
      <c r="AG18" s="36"/>
      <c r="AH18" s="67"/>
      <c r="AI18" s="36"/>
      <c r="AJ18" s="52">
        <f t="shared" si="0"/>
        <v>0</v>
      </c>
      <c r="AK18" s="34">
        <f t="shared" si="2"/>
        <v>0</v>
      </c>
    </row>
    <row r="19" spans="1:41" x14ac:dyDescent="0.3">
      <c r="A19" s="17"/>
      <c r="B19" s="12"/>
      <c r="E19" s="32">
        <v>8</v>
      </c>
      <c r="F19" s="63">
        <v>7</v>
      </c>
      <c r="G19" s="63">
        <v>6</v>
      </c>
      <c r="H19" s="63">
        <v>5</v>
      </c>
      <c r="I19" s="63">
        <v>4</v>
      </c>
      <c r="J19" s="63">
        <v>3</v>
      </c>
      <c r="K19" s="63">
        <v>2</v>
      </c>
      <c r="L19" s="63">
        <v>1</v>
      </c>
      <c r="M19" s="82">
        <v>1</v>
      </c>
      <c r="N19" s="63">
        <v>2</v>
      </c>
      <c r="O19" s="63">
        <v>3</v>
      </c>
      <c r="P19" s="63">
        <v>4</v>
      </c>
      <c r="Q19" s="63">
        <v>5</v>
      </c>
      <c r="R19" s="63">
        <v>6</v>
      </c>
      <c r="S19" s="63">
        <v>7</v>
      </c>
      <c r="T19" s="63">
        <v>8</v>
      </c>
      <c r="AB19" s="17"/>
      <c r="AD19" s="37"/>
      <c r="AE19" s="34"/>
      <c r="AF19" s="71"/>
      <c r="AG19" s="36"/>
      <c r="AH19" s="67"/>
      <c r="AI19" s="68"/>
      <c r="AJ19" s="52">
        <f t="shared" si="0"/>
        <v>0</v>
      </c>
      <c r="AK19" s="34">
        <f t="shared" si="2"/>
        <v>0</v>
      </c>
    </row>
    <row r="20" spans="1:41" x14ac:dyDescent="0.3">
      <c r="A20" s="17"/>
      <c r="B20" s="12"/>
      <c r="AB20" s="17"/>
      <c r="AD20" s="37"/>
      <c r="AE20" s="34"/>
      <c r="AF20" s="71"/>
      <c r="AG20" s="36"/>
      <c r="AH20" s="67"/>
      <c r="AI20" s="36"/>
      <c r="AJ20" s="52">
        <f t="shared" si="0"/>
        <v>0</v>
      </c>
      <c r="AK20" s="34">
        <f t="shared" si="2"/>
        <v>0</v>
      </c>
    </row>
    <row r="21" spans="1:41" x14ac:dyDescent="0.3">
      <c r="A21" s="17"/>
      <c r="B21" s="12"/>
      <c r="M21" s="75"/>
      <c r="AB21" s="17"/>
      <c r="AD21" s="33" t="s">
        <v>185</v>
      </c>
      <c r="AE21" s="34">
        <v>8</v>
      </c>
      <c r="AF21" s="71"/>
      <c r="AG21" s="36"/>
      <c r="AH21" s="67"/>
      <c r="AI21" s="36"/>
      <c r="AJ21" s="52">
        <f t="shared" si="0"/>
        <v>0</v>
      </c>
      <c r="AK21" s="34">
        <f t="shared" si="2"/>
        <v>0</v>
      </c>
    </row>
    <row r="22" spans="1:41" x14ac:dyDescent="0.3">
      <c r="A22" s="17"/>
      <c r="B22" s="12"/>
      <c r="C22" s="83" t="s">
        <v>502</v>
      </c>
      <c r="D22" s="83"/>
      <c r="E22" s="83"/>
      <c r="F22" s="83"/>
      <c r="G22" s="99">
        <v>43872</v>
      </c>
      <c r="H22" s="100"/>
      <c r="I22" s="100"/>
      <c r="J22" s="16"/>
      <c r="K22" s="16"/>
      <c r="AB22" s="17"/>
      <c r="AD22" s="33" t="s">
        <v>186</v>
      </c>
      <c r="AE22" s="34">
        <v>15</v>
      </c>
      <c r="AF22" s="71"/>
      <c r="AG22" s="36"/>
      <c r="AH22" s="67"/>
      <c r="AI22" s="68"/>
      <c r="AJ22" s="52">
        <f t="shared" si="0"/>
        <v>0</v>
      </c>
      <c r="AK22" s="34">
        <f t="shared" si="2"/>
        <v>0</v>
      </c>
    </row>
    <row r="23" spans="1:41" x14ac:dyDescent="0.3">
      <c r="A23" s="17"/>
      <c r="B23" s="12"/>
      <c r="C23" s="83" t="s">
        <v>502</v>
      </c>
      <c r="D23" s="83"/>
      <c r="E23" s="83"/>
      <c r="F23" s="83"/>
      <c r="G23" s="100"/>
      <c r="H23" s="100"/>
      <c r="I23" s="100"/>
      <c r="J23" s="16"/>
      <c r="K23" s="16"/>
      <c r="AB23" s="17"/>
      <c r="AD23" s="33" t="s">
        <v>187</v>
      </c>
      <c r="AE23" s="34">
        <v>7</v>
      </c>
      <c r="AF23" s="71"/>
      <c r="AG23" s="36"/>
      <c r="AH23" s="67"/>
      <c r="AI23" s="68"/>
      <c r="AJ23" s="52">
        <f t="shared" si="0"/>
        <v>0</v>
      </c>
      <c r="AK23" s="34">
        <f t="shared" si="2"/>
        <v>0</v>
      </c>
    </row>
    <row r="24" spans="1:41" x14ac:dyDescent="0.3">
      <c r="A24" s="17"/>
      <c r="B24" s="12"/>
      <c r="C24" s="83" t="s">
        <v>502</v>
      </c>
      <c r="D24" s="83"/>
      <c r="E24" s="83"/>
      <c r="F24" s="83"/>
      <c r="G24" s="100"/>
      <c r="H24" s="100"/>
      <c r="I24" s="100"/>
      <c r="J24" s="16"/>
      <c r="K24" s="16"/>
      <c r="AB24" s="17"/>
      <c r="AD24" s="33" t="s">
        <v>188</v>
      </c>
      <c r="AE24" s="34">
        <v>5</v>
      </c>
      <c r="AF24" s="71"/>
      <c r="AG24" s="36"/>
      <c r="AH24" s="67"/>
      <c r="AI24" s="68"/>
      <c r="AJ24" s="52">
        <f t="shared" si="0"/>
        <v>0</v>
      </c>
      <c r="AK24" s="34">
        <f t="shared" si="2"/>
        <v>0</v>
      </c>
    </row>
    <row r="25" spans="1:41" x14ac:dyDescent="0.3">
      <c r="A25" s="17"/>
      <c r="B25" s="12"/>
      <c r="C25" s="83" t="s">
        <v>502</v>
      </c>
      <c r="D25" s="83"/>
      <c r="E25" s="83"/>
      <c r="F25" s="83"/>
      <c r="G25" s="100"/>
      <c r="H25" s="100"/>
      <c r="I25" s="100"/>
      <c r="J25" s="16"/>
      <c r="K25" s="16"/>
      <c r="N25" s="75"/>
      <c r="AB25" s="17"/>
      <c r="AD25" s="33" t="s">
        <v>189</v>
      </c>
      <c r="AE25" s="34">
        <v>7</v>
      </c>
      <c r="AF25" s="71"/>
      <c r="AG25" s="36"/>
      <c r="AH25" s="67"/>
      <c r="AI25" s="36"/>
      <c r="AJ25" s="52">
        <f t="shared" si="0"/>
        <v>0</v>
      </c>
      <c r="AK25" s="34">
        <f t="shared" si="2"/>
        <v>0</v>
      </c>
    </row>
    <row r="26" spans="1:41" x14ac:dyDescent="0.3">
      <c r="A26" s="17"/>
      <c r="B26" s="12"/>
      <c r="C26" s="83" t="s">
        <v>502</v>
      </c>
      <c r="D26" s="83"/>
      <c r="E26" s="83"/>
      <c r="F26" s="83"/>
      <c r="G26" s="100"/>
      <c r="H26" s="100"/>
      <c r="I26" s="100"/>
      <c r="J26" s="16"/>
      <c r="K26" s="16"/>
      <c r="AB26" s="17"/>
      <c r="AD26" s="33" t="s">
        <v>190</v>
      </c>
      <c r="AE26" s="34">
        <v>29</v>
      </c>
      <c r="AF26" s="71"/>
      <c r="AG26" s="36"/>
      <c r="AH26" s="67"/>
      <c r="AI26" s="68"/>
      <c r="AJ26" s="52">
        <f t="shared" si="0"/>
        <v>0</v>
      </c>
      <c r="AK26" s="34">
        <f t="shared" si="2"/>
        <v>0</v>
      </c>
    </row>
    <row r="27" spans="1:41" s="1" customFormat="1" x14ac:dyDescent="0.3">
      <c r="A27" s="17"/>
      <c r="B27" s="12"/>
      <c r="C27" s="16"/>
      <c r="D27" s="16"/>
      <c r="F27" s="16"/>
      <c r="G27" s="16"/>
      <c r="H27" s="16"/>
      <c r="I27" s="16"/>
      <c r="J27" s="16"/>
      <c r="K27" s="16"/>
      <c r="AB27" s="17"/>
      <c r="AD27" s="33" t="s">
        <v>191</v>
      </c>
      <c r="AE27" s="34">
        <v>22</v>
      </c>
      <c r="AF27" s="71"/>
      <c r="AG27" s="36"/>
      <c r="AH27" s="67"/>
      <c r="AI27" s="36"/>
      <c r="AJ27" s="52">
        <f t="shared" si="0"/>
        <v>0</v>
      </c>
      <c r="AK27" s="34">
        <f t="shared" si="2"/>
        <v>0</v>
      </c>
    </row>
    <row r="28" spans="1:41" s="1" customFormat="1" x14ac:dyDescent="0.3">
      <c r="A28" s="17"/>
      <c r="B28" s="12"/>
      <c r="C28" s="16"/>
      <c r="D28" s="16"/>
      <c r="F28" s="16"/>
      <c r="G28" s="16"/>
      <c r="H28" s="16"/>
      <c r="I28" s="16"/>
      <c r="J28" s="16"/>
      <c r="K28" s="16"/>
      <c r="AB28" s="17"/>
      <c r="AD28" s="33" t="s">
        <v>192</v>
      </c>
      <c r="AE28" s="34">
        <v>8</v>
      </c>
      <c r="AF28" s="71"/>
      <c r="AG28" s="36"/>
      <c r="AH28" s="67"/>
      <c r="AI28" s="36"/>
      <c r="AJ28" s="52">
        <f t="shared" si="0"/>
        <v>0</v>
      </c>
      <c r="AK28" s="34">
        <f t="shared" si="2"/>
        <v>0</v>
      </c>
    </row>
    <row r="29" spans="1:41" s="1" customFormat="1" ht="14.4" customHeight="1" x14ac:dyDescent="0.3">
      <c r="A29" s="17"/>
      <c r="B29" s="12"/>
      <c r="C29" s="16"/>
      <c r="D29" s="16"/>
      <c r="AB29" s="17"/>
      <c r="AD29" s="33" t="s">
        <v>193</v>
      </c>
      <c r="AE29" s="34">
        <v>8</v>
      </c>
      <c r="AF29" s="71"/>
      <c r="AG29" s="36"/>
      <c r="AH29" s="67"/>
      <c r="AI29" s="36"/>
      <c r="AJ29" s="52">
        <f t="shared" si="0"/>
        <v>0</v>
      </c>
      <c r="AK29" s="34">
        <f t="shared" si="2"/>
        <v>0</v>
      </c>
    </row>
    <row r="30" spans="1:41" s="1" customFormat="1" ht="14.4" customHeight="1" x14ac:dyDescent="0.3">
      <c r="A30" s="17">
        <v>14</v>
      </c>
      <c r="B30" s="12"/>
      <c r="C30" s="16"/>
      <c r="D30" s="16"/>
      <c r="L30" s="75"/>
      <c r="AB30" s="17"/>
      <c r="AD30" s="33" t="s">
        <v>194</v>
      </c>
      <c r="AE30" s="34">
        <v>8</v>
      </c>
      <c r="AF30" s="71"/>
      <c r="AG30" s="36"/>
      <c r="AH30" s="67"/>
      <c r="AI30" s="68"/>
      <c r="AJ30" s="52">
        <f t="shared" si="0"/>
        <v>0</v>
      </c>
      <c r="AK30" s="34">
        <f t="shared" si="2"/>
        <v>0</v>
      </c>
    </row>
    <row r="31" spans="1:41" ht="14.4" customHeight="1" x14ac:dyDescent="0.3">
      <c r="A31" s="17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7"/>
      <c r="AD31" s="33" t="s">
        <v>195</v>
      </c>
      <c r="AE31" s="34">
        <v>8</v>
      </c>
      <c r="AF31" s="71"/>
      <c r="AG31" s="36"/>
      <c r="AH31" s="67"/>
      <c r="AI31" s="36"/>
      <c r="AJ31" s="52">
        <f t="shared" si="0"/>
        <v>0</v>
      </c>
      <c r="AK31" s="34">
        <f t="shared" si="2"/>
        <v>0</v>
      </c>
    </row>
    <row r="32" spans="1:41" ht="14.4" customHeight="1" x14ac:dyDescent="0.3">
      <c r="A32" s="17"/>
      <c r="C32" s="1"/>
      <c r="D32" s="1"/>
      <c r="R32" s="1"/>
      <c r="S32" s="1"/>
      <c r="T32" s="1"/>
      <c r="U32" s="1"/>
      <c r="V32" s="1"/>
      <c r="W32" s="1"/>
      <c r="X32" s="1"/>
      <c r="AB32" s="17"/>
      <c r="AD32" s="38" t="s">
        <v>196</v>
      </c>
      <c r="AE32" s="53">
        <v>85</v>
      </c>
      <c r="AF32" s="71"/>
      <c r="AG32" s="36"/>
      <c r="AH32" s="67"/>
      <c r="AI32" s="36"/>
      <c r="AJ32" s="52">
        <f t="shared" si="0"/>
        <v>0</v>
      </c>
      <c r="AK32" s="34">
        <f t="shared" si="2"/>
        <v>0</v>
      </c>
    </row>
    <row r="33" spans="1:37" ht="14.4" customHeight="1" x14ac:dyDescent="0.3">
      <c r="A33" s="17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7"/>
      <c r="AD33" s="33" t="s">
        <v>197</v>
      </c>
      <c r="AE33" s="34">
        <v>85</v>
      </c>
      <c r="AF33" s="71"/>
      <c r="AG33" s="36"/>
      <c r="AH33" s="67"/>
      <c r="AI33" s="36"/>
      <c r="AJ33" s="52">
        <f t="shared" si="0"/>
        <v>0</v>
      </c>
      <c r="AK33" s="34">
        <f t="shared" si="2"/>
        <v>0</v>
      </c>
    </row>
    <row r="34" spans="1:37" ht="14.4" customHeight="1" x14ac:dyDescent="0.3">
      <c r="A34" s="17"/>
      <c r="C34" s="1"/>
      <c r="D34" s="1"/>
      <c r="R34" s="1"/>
      <c r="S34" s="1"/>
      <c r="T34" s="1"/>
      <c r="U34" s="1"/>
      <c r="V34" s="1"/>
      <c r="W34" s="1"/>
      <c r="X34" s="1"/>
      <c r="AB34" s="17"/>
      <c r="AD34" s="35" t="s">
        <v>204</v>
      </c>
      <c r="AE34" s="52">
        <v>20</v>
      </c>
      <c r="AF34" s="71"/>
      <c r="AG34" s="36"/>
      <c r="AH34" s="67"/>
      <c r="AI34" s="36"/>
      <c r="AJ34" s="52">
        <f t="shared" si="0"/>
        <v>0</v>
      </c>
      <c r="AK34" s="34">
        <f t="shared" si="2"/>
        <v>0</v>
      </c>
    </row>
    <row r="35" spans="1:37" ht="14.4" customHeight="1" x14ac:dyDescent="0.3">
      <c r="A35" s="17"/>
      <c r="C35" s="66"/>
      <c r="D35" s="66"/>
      <c r="E35" s="66"/>
      <c r="F35" s="66"/>
      <c r="G35" s="66"/>
      <c r="I35" s="16"/>
      <c r="J35" s="16"/>
      <c r="K35" s="16"/>
      <c r="L35" s="16"/>
      <c r="O35" s="75"/>
      <c r="R35" s="1"/>
      <c r="S35" s="1"/>
      <c r="T35" s="1"/>
      <c r="U35" s="1"/>
      <c r="V35" s="1"/>
      <c r="W35" s="1"/>
      <c r="X35" s="1"/>
      <c r="AB35" s="17"/>
      <c r="AD35" s="36" t="s">
        <v>379</v>
      </c>
      <c r="AE35" s="52">
        <v>12</v>
      </c>
      <c r="AF35" s="71"/>
      <c r="AG35" s="36"/>
      <c r="AH35" s="67"/>
      <c r="AI35" s="36"/>
      <c r="AJ35" s="52">
        <f t="shared" si="0"/>
        <v>0</v>
      </c>
      <c r="AK35" s="34">
        <f t="shared" si="2"/>
        <v>0</v>
      </c>
    </row>
    <row r="36" spans="1:37" x14ac:dyDescent="0.3">
      <c r="A36" s="17"/>
      <c r="C36" s="64"/>
      <c r="D36" s="64"/>
      <c r="E36" s="64"/>
      <c r="F36" s="64"/>
      <c r="G36" s="64"/>
      <c r="I36" s="16"/>
      <c r="J36" s="16"/>
      <c r="K36" s="16"/>
      <c r="L36" s="16"/>
      <c r="R36" s="1"/>
      <c r="S36" s="1"/>
      <c r="T36" s="1"/>
      <c r="U36" s="1"/>
      <c r="V36" s="1"/>
      <c r="W36" s="1"/>
      <c r="X36" s="1"/>
      <c r="AB36" s="17"/>
      <c r="AD36" s="36" t="s">
        <v>381</v>
      </c>
      <c r="AE36" s="52">
        <v>15</v>
      </c>
      <c r="AF36" s="71"/>
      <c r="AG36" s="36"/>
      <c r="AH36" s="67"/>
      <c r="AI36" s="36"/>
      <c r="AJ36" s="52">
        <f t="shared" si="0"/>
        <v>0</v>
      </c>
      <c r="AK36" s="34">
        <f t="shared" si="2"/>
        <v>0</v>
      </c>
    </row>
    <row r="37" spans="1:37" x14ac:dyDescent="0.3">
      <c r="A37" s="17"/>
      <c r="C37" s="64"/>
      <c r="D37" s="64"/>
      <c r="E37" s="64"/>
      <c r="F37" s="64"/>
      <c r="G37" s="64"/>
      <c r="I37" s="16"/>
      <c r="J37" s="16"/>
      <c r="K37" s="16"/>
      <c r="L37" s="16"/>
      <c r="R37" s="1"/>
      <c r="S37" s="1"/>
      <c r="T37" s="1"/>
      <c r="U37" s="1"/>
      <c r="V37" s="1"/>
      <c r="W37" s="1"/>
      <c r="X37" s="1"/>
      <c r="AB37" s="17"/>
      <c r="AD37" s="33" t="s">
        <v>198</v>
      </c>
      <c r="AE37" s="34">
        <v>85</v>
      </c>
      <c r="AF37" s="71"/>
      <c r="AG37" s="36"/>
      <c r="AH37" s="67"/>
      <c r="AI37" s="36"/>
      <c r="AJ37" s="52">
        <f t="shared" si="0"/>
        <v>0</v>
      </c>
      <c r="AK37" s="34">
        <f t="shared" si="2"/>
        <v>0</v>
      </c>
    </row>
    <row r="38" spans="1:37" x14ac:dyDescent="0.3">
      <c r="A38" s="17"/>
      <c r="C38" s="64"/>
      <c r="D38" s="64"/>
      <c r="E38" s="64"/>
      <c r="F38" s="64"/>
      <c r="G38" s="64"/>
      <c r="I38" s="65"/>
      <c r="J38" s="64"/>
      <c r="K38" s="16"/>
      <c r="L38" s="16"/>
      <c r="R38" s="1"/>
      <c r="S38" s="1"/>
      <c r="T38" s="1"/>
      <c r="U38" s="1"/>
      <c r="V38" s="1"/>
      <c r="W38" s="1"/>
      <c r="X38" s="1"/>
      <c r="AB38" s="17"/>
      <c r="AD38" s="33" t="s">
        <v>199</v>
      </c>
      <c r="AE38" s="34">
        <v>10</v>
      </c>
      <c r="AF38" s="71"/>
      <c r="AG38" s="36"/>
      <c r="AH38" s="67"/>
      <c r="AI38" s="36"/>
      <c r="AJ38" s="52">
        <f t="shared" si="0"/>
        <v>0</v>
      </c>
      <c r="AK38" s="34">
        <f t="shared" si="2"/>
        <v>0</v>
      </c>
    </row>
    <row r="39" spans="1:37" x14ac:dyDescent="0.3">
      <c r="A39" s="17"/>
      <c r="C39" s="64"/>
      <c r="D39" s="64"/>
      <c r="E39" s="64"/>
      <c r="F39" s="64"/>
      <c r="G39" s="64"/>
      <c r="I39" s="16"/>
      <c r="J39" s="16"/>
      <c r="K39" s="16"/>
      <c r="L39" s="16"/>
      <c r="R39" s="1"/>
      <c r="S39" s="1"/>
      <c r="T39" s="1"/>
      <c r="U39" s="1"/>
      <c r="V39" s="1"/>
      <c r="W39" s="1"/>
      <c r="X39" s="1"/>
      <c r="AB39" s="17"/>
      <c r="AD39" s="33" t="s">
        <v>200</v>
      </c>
      <c r="AE39" s="34">
        <v>120</v>
      </c>
      <c r="AF39" s="71"/>
      <c r="AG39" s="36"/>
      <c r="AH39" s="67"/>
      <c r="AI39" s="36"/>
      <c r="AJ39" s="52">
        <f t="shared" si="0"/>
        <v>0</v>
      </c>
      <c r="AK39" s="34">
        <f t="shared" si="2"/>
        <v>0</v>
      </c>
    </row>
    <row r="40" spans="1:37" x14ac:dyDescent="0.3">
      <c r="A40" s="17"/>
      <c r="C40" s="64"/>
      <c r="D40" s="64"/>
      <c r="E40" s="64"/>
      <c r="F40" s="64"/>
      <c r="G40" s="64"/>
      <c r="I40" s="16"/>
      <c r="J40" s="16"/>
      <c r="K40" s="16"/>
      <c r="L40" s="16"/>
      <c r="R40" s="1"/>
      <c r="S40" s="1"/>
      <c r="T40" s="1"/>
      <c r="U40" s="1"/>
      <c r="V40" s="1"/>
      <c r="W40" s="1"/>
      <c r="X40" s="1"/>
      <c r="AB40" s="17"/>
      <c r="AD40" s="35" t="s">
        <v>183</v>
      </c>
      <c r="AE40" s="52">
        <v>12</v>
      </c>
      <c r="AF40" s="71"/>
      <c r="AG40" s="36"/>
      <c r="AH40" s="67"/>
      <c r="AI40" s="36"/>
      <c r="AJ40" s="52">
        <f t="shared" si="0"/>
        <v>0</v>
      </c>
      <c r="AK40" s="34">
        <f t="shared" si="2"/>
        <v>0</v>
      </c>
    </row>
    <row r="41" spans="1:37" x14ac:dyDescent="0.3">
      <c r="A41" s="17"/>
      <c r="C41" s="64"/>
      <c r="D41" s="64"/>
      <c r="E41" s="64"/>
      <c r="F41" s="64"/>
      <c r="G41" s="64"/>
      <c r="I41" s="16"/>
      <c r="J41" s="16"/>
      <c r="K41" s="16"/>
      <c r="L41" s="16"/>
      <c r="R41" s="1"/>
      <c r="S41" s="1"/>
      <c r="T41" s="1"/>
      <c r="U41" s="1"/>
      <c r="V41" s="1"/>
      <c r="W41" s="1"/>
      <c r="X41" s="1"/>
      <c r="AB41" s="17"/>
      <c r="AD41" s="35" t="s">
        <v>184</v>
      </c>
      <c r="AE41" s="52">
        <v>8</v>
      </c>
      <c r="AF41" s="71"/>
      <c r="AG41" s="36"/>
      <c r="AH41" s="67"/>
      <c r="AI41" s="36"/>
      <c r="AJ41" s="52">
        <f t="shared" si="0"/>
        <v>0</v>
      </c>
      <c r="AK41" s="34">
        <f t="shared" si="2"/>
        <v>0</v>
      </c>
    </row>
    <row r="42" spans="1:37" x14ac:dyDescent="0.3">
      <c r="A42" s="17"/>
      <c r="C42" s="64"/>
      <c r="D42" s="64"/>
      <c r="E42" s="64"/>
      <c r="F42" s="64"/>
      <c r="G42" s="64"/>
      <c r="I42" s="16"/>
      <c r="J42" s="16"/>
      <c r="K42" s="16"/>
      <c r="L42" s="16"/>
      <c r="R42" s="1"/>
      <c r="S42" s="1"/>
      <c r="T42" s="1"/>
      <c r="U42" s="1"/>
      <c r="V42" s="1"/>
      <c r="W42" s="1"/>
      <c r="X42" s="1"/>
      <c r="AB42" s="17"/>
      <c r="AD42" s="33" t="s">
        <v>201</v>
      </c>
      <c r="AE42" s="34">
        <v>60</v>
      </c>
      <c r="AF42" s="71"/>
      <c r="AG42" s="36"/>
      <c r="AH42" s="67"/>
      <c r="AI42" s="36"/>
      <c r="AJ42" s="52">
        <f t="shared" si="0"/>
        <v>0</v>
      </c>
      <c r="AK42" s="34">
        <f t="shared" si="2"/>
        <v>0</v>
      </c>
    </row>
    <row r="43" spans="1:37" x14ac:dyDescent="0.3">
      <c r="A43" s="17"/>
      <c r="C43" s="64"/>
      <c r="D43" s="64"/>
      <c r="E43" s="64"/>
      <c r="F43" s="64"/>
      <c r="G43" s="64"/>
      <c r="I43" s="16"/>
      <c r="J43" s="16"/>
      <c r="K43" s="16"/>
      <c r="L43" s="16"/>
      <c r="R43" s="1"/>
      <c r="S43" s="1"/>
      <c r="T43" s="1"/>
      <c r="U43" s="1"/>
      <c r="V43" s="1"/>
      <c r="W43" s="1"/>
      <c r="X43" s="1"/>
      <c r="AB43" s="17"/>
      <c r="AD43" s="35" t="s">
        <v>183</v>
      </c>
      <c r="AE43" s="52">
        <v>12</v>
      </c>
      <c r="AF43" s="71"/>
      <c r="AG43" s="36"/>
      <c r="AH43" s="67"/>
      <c r="AI43" s="36"/>
      <c r="AJ43" s="52">
        <f t="shared" si="0"/>
        <v>0</v>
      </c>
      <c r="AK43" s="34">
        <f t="shared" si="2"/>
        <v>0</v>
      </c>
    </row>
    <row r="44" spans="1:37" x14ac:dyDescent="0.3">
      <c r="A44" s="17"/>
      <c r="C44" s="64"/>
      <c r="D44" s="64"/>
      <c r="E44" s="64"/>
      <c r="F44" s="64"/>
      <c r="G44" s="64"/>
      <c r="I44" s="16"/>
      <c r="J44" s="16"/>
      <c r="K44" s="16"/>
      <c r="L44" s="16"/>
      <c r="R44" s="1"/>
      <c r="S44" s="1"/>
      <c r="T44" s="1"/>
      <c r="U44" s="1"/>
      <c r="V44" s="1"/>
      <c r="W44" s="1"/>
      <c r="X44" s="1"/>
      <c r="AB44" s="17"/>
      <c r="AD44" s="35" t="s">
        <v>184</v>
      </c>
      <c r="AE44" s="52">
        <v>8</v>
      </c>
      <c r="AF44" s="71"/>
      <c r="AG44" s="36"/>
      <c r="AH44" s="67"/>
      <c r="AI44" s="36"/>
      <c r="AJ44" s="52">
        <f t="shared" si="0"/>
        <v>0</v>
      </c>
      <c r="AK44" s="34">
        <f t="shared" si="2"/>
        <v>0</v>
      </c>
    </row>
    <row r="45" spans="1:37" x14ac:dyDescent="0.3">
      <c r="A45" s="17"/>
      <c r="C45" s="64"/>
      <c r="D45" s="64"/>
      <c r="E45" s="64"/>
      <c r="F45" s="64"/>
      <c r="G45" s="64"/>
      <c r="I45" s="16"/>
      <c r="J45" s="16"/>
      <c r="K45" s="16"/>
      <c r="L45" s="16"/>
      <c r="R45" s="1"/>
      <c r="S45" s="1"/>
      <c r="T45" s="1"/>
      <c r="U45" s="1"/>
      <c r="V45" s="1"/>
      <c r="W45" s="1"/>
      <c r="X45" s="1"/>
      <c r="AB45" s="17"/>
      <c r="AD45" s="33" t="s">
        <v>202</v>
      </c>
      <c r="AE45" s="34">
        <v>65</v>
      </c>
      <c r="AF45" s="71"/>
      <c r="AG45" s="36"/>
      <c r="AH45" s="67"/>
      <c r="AI45" s="36"/>
      <c r="AJ45" s="52">
        <f t="shared" si="0"/>
        <v>0</v>
      </c>
      <c r="AK45" s="34">
        <f t="shared" si="2"/>
        <v>0</v>
      </c>
    </row>
    <row r="46" spans="1:37" x14ac:dyDescent="0.3">
      <c r="A46" s="17"/>
      <c r="C46" s="64"/>
      <c r="D46" s="64"/>
      <c r="E46" s="64"/>
      <c r="F46" s="64"/>
      <c r="G46" s="64"/>
      <c r="I46" s="16"/>
      <c r="J46" s="16"/>
      <c r="K46" s="16"/>
      <c r="L46" s="16"/>
      <c r="R46" s="1"/>
      <c r="S46" s="1"/>
      <c r="T46" s="1"/>
      <c r="U46" s="1"/>
      <c r="V46" s="1"/>
      <c r="W46" s="1"/>
      <c r="X46" s="1"/>
      <c r="AB46" s="17"/>
      <c r="AD46" s="35" t="s">
        <v>183</v>
      </c>
      <c r="AE46" s="52">
        <v>12</v>
      </c>
      <c r="AF46" s="71"/>
      <c r="AG46" s="36"/>
      <c r="AH46" s="67"/>
      <c r="AI46" s="36"/>
      <c r="AJ46" s="52">
        <f t="shared" si="0"/>
        <v>0</v>
      </c>
      <c r="AK46" s="34">
        <f t="shared" si="2"/>
        <v>0</v>
      </c>
    </row>
    <row r="47" spans="1:37" x14ac:dyDescent="0.3">
      <c r="A47" s="17"/>
      <c r="C47" s="1"/>
      <c r="D47" s="1"/>
      <c r="I47" s="16"/>
      <c r="J47" s="16"/>
      <c r="K47" s="16"/>
      <c r="L47" s="16"/>
      <c r="R47" s="1"/>
      <c r="S47" s="1"/>
      <c r="T47" s="1"/>
      <c r="U47" s="1"/>
      <c r="V47" s="1"/>
      <c r="W47" s="1"/>
      <c r="X47" s="1"/>
      <c r="AB47" s="17"/>
      <c r="AD47" s="35" t="s">
        <v>184</v>
      </c>
      <c r="AE47" s="52">
        <v>8</v>
      </c>
      <c r="AF47" s="71"/>
      <c r="AG47" s="36"/>
      <c r="AH47" s="67"/>
      <c r="AI47" s="36"/>
      <c r="AJ47" s="52">
        <f t="shared" si="0"/>
        <v>0</v>
      </c>
      <c r="AK47" s="34">
        <f t="shared" si="2"/>
        <v>0</v>
      </c>
    </row>
    <row r="48" spans="1:37" x14ac:dyDescent="0.3">
      <c r="A48" s="17"/>
      <c r="C48" s="1"/>
      <c r="D48" s="1"/>
      <c r="I48" s="16"/>
      <c r="J48" s="16"/>
      <c r="K48" s="16"/>
      <c r="L48" s="16"/>
      <c r="R48" s="1"/>
      <c r="S48" s="1"/>
      <c r="T48" s="1"/>
      <c r="U48" s="1"/>
      <c r="V48" s="1"/>
      <c r="W48" s="1"/>
      <c r="X48" s="1"/>
      <c r="AB48" s="17"/>
      <c r="AD48" s="33" t="s">
        <v>203</v>
      </c>
      <c r="AE48" s="34">
        <v>3</v>
      </c>
      <c r="AF48" s="71"/>
      <c r="AG48" s="36"/>
      <c r="AH48" s="67"/>
      <c r="AI48" s="36"/>
      <c r="AJ48" s="52">
        <f t="shared" si="0"/>
        <v>0</v>
      </c>
      <c r="AK48" s="34">
        <f t="shared" si="2"/>
        <v>0</v>
      </c>
    </row>
    <row r="49" spans="1:37" x14ac:dyDescent="0.3">
      <c r="A49" s="17"/>
      <c r="C49" s="1"/>
      <c r="D49" s="1"/>
      <c r="I49" s="16"/>
      <c r="J49" s="16"/>
      <c r="K49" s="16"/>
      <c r="L49" s="16"/>
      <c r="R49" s="1"/>
      <c r="S49" s="1"/>
      <c r="T49" s="1"/>
      <c r="U49" s="1"/>
      <c r="V49" s="1"/>
      <c r="W49" s="1"/>
      <c r="X49" s="1"/>
      <c r="AB49" s="17"/>
      <c r="AD49" s="33" t="s">
        <v>204</v>
      </c>
      <c r="AE49" s="34">
        <v>20</v>
      </c>
      <c r="AF49" s="71"/>
      <c r="AG49" s="36"/>
      <c r="AH49" s="67"/>
      <c r="AI49" s="36"/>
      <c r="AJ49" s="52">
        <f t="shared" si="0"/>
        <v>0</v>
      </c>
      <c r="AK49" s="34">
        <f t="shared" si="2"/>
        <v>0</v>
      </c>
    </row>
    <row r="50" spans="1:37" x14ac:dyDescent="0.3">
      <c r="A50" s="17"/>
      <c r="C50" s="1"/>
      <c r="D50" s="1"/>
      <c r="I50" s="16"/>
      <c r="J50" s="16"/>
      <c r="K50" s="16"/>
      <c r="L50" s="16"/>
      <c r="R50" s="1"/>
      <c r="S50" s="1"/>
      <c r="T50" s="1"/>
      <c r="U50" s="1"/>
      <c r="V50" s="1"/>
      <c r="W50" s="1"/>
      <c r="X50" s="1"/>
      <c r="AB50" s="17"/>
      <c r="AD50" s="33" t="s">
        <v>113</v>
      </c>
      <c r="AE50" s="34">
        <v>15</v>
      </c>
      <c r="AF50" s="71"/>
      <c r="AG50" s="36"/>
      <c r="AH50" s="67"/>
      <c r="AI50" s="36"/>
      <c r="AJ50" s="52">
        <f t="shared" si="0"/>
        <v>0</v>
      </c>
      <c r="AK50" s="34">
        <f t="shared" si="2"/>
        <v>0</v>
      </c>
    </row>
    <row r="51" spans="1:37" x14ac:dyDescent="0.3">
      <c r="A51" s="17"/>
      <c r="C51" s="1"/>
      <c r="D51" s="1"/>
      <c r="I51" s="16"/>
      <c r="J51" s="16"/>
      <c r="K51" s="16"/>
      <c r="L51" s="16"/>
      <c r="R51" s="1"/>
      <c r="S51" s="1"/>
      <c r="T51" s="1"/>
      <c r="U51" s="1"/>
      <c r="V51" s="1"/>
      <c r="W51" s="1"/>
      <c r="X51" s="1"/>
      <c r="AB51" s="17"/>
      <c r="AD51" s="38" t="s">
        <v>205</v>
      </c>
      <c r="AE51" s="53">
        <v>25</v>
      </c>
      <c r="AF51" s="71"/>
      <c r="AG51" s="36"/>
      <c r="AH51" s="67"/>
      <c r="AI51" s="36"/>
      <c r="AJ51" s="52">
        <f t="shared" si="0"/>
        <v>0</v>
      </c>
      <c r="AK51" s="34">
        <f t="shared" si="2"/>
        <v>0</v>
      </c>
    </row>
    <row r="52" spans="1:37" s="1" customFormat="1" x14ac:dyDescent="0.3">
      <c r="A52" s="17"/>
      <c r="I52" s="16"/>
      <c r="J52" s="16"/>
      <c r="K52" s="16"/>
      <c r="L52" s="16"/>
      <c r="AB52" s="17"/>
      <c r="AD52" s="33" t="s">
        <v>206</v>
      </c>
      <c r="AE52" s="34">
        <v>15</v>
      </c>
      <c r="AF52" s="71"/>
      <c r="AG52" s="36"/>
      <c r="AH52" s="67"/>
      <c r="AI52" s="36"/>
      <c r="AJ52" s="52">
        <f t="shared" si="0"/>
        <v>0</v>
      </c>
      <c r="AK52" s="34">
        <f t="shared" si="2"/>
        <v>0</v>
      </c>
    </row>
    <row r="53" spans="1:37" x14ac:dyDescent="0.3">
      <c r="A53" s="17"/>
      <c r="C53" s="1"/>
      <c r="D53" s="1"/>
      <c r="I53" s="16"/>
      <c r="J53" s="16"/>
      <c r="K53" s="16"/>
      <c r="L53" s="16"/>
      <c r="R53" s="1"/>
      <c r="S53" s="1"/>
      <c r="T53" s="1"/>
      <c r="U53" s="1"/>
      <c r="V53" s="1"/>
      <c r="W53" s="1"/>
      <c r="X53" s="1"/>
      <c r="AB53" s="17"/>
      <c r="AD53" s="33" t="s">
        <v>207</v>
      </c>
      <c r="AE53" s="34">
        <v>28</v>
      </c>
      <c r="AF53" s="71"/>
      <c r="AG53" s="36"/>
      <c r="AH53" s="67"/>
      <c r="AI53" s="36"/>
      <c r="AJ53" s="52">
        <f t="shared" si="0"/>
        <v>0</v>
      </c>
      <c r="AK53" s="34">
        <f t="shared" si="2"/>
        <v>0</v>
      </c>
    </row>
    <row r="54" spans="1:37" s="1" customFormat="1" x14ac:dyDescent="0.3">
      <c r="A54" s="17"/>
      <c r="I54" s="16"/>
      <c r="J54" s="16"/>
      <c r="K54" s="16"/>
      <c r="L54" s="16"/>
      <c r="AB54" s="17"/>
      <c r="AD54" s="38" t="s">
        <v>208</v>
      </c>
      <c r="AE54" s="53">
        <v>102</v>
      </c>
      <c r="AF54" s="71"/>
      <c r="AG54" s="36"/>
      <c r="AH54" s="67"/>
      <c r="AI54" s="36"/>
      <c r="AJ54" s="52">
        <f t="shared" si="0"/>
        <v>0</v>
      </c>
      <c r="AK54" s="34">
        <f t="shared" si="2"/>
        <v>0</v>
      </c>
    </row>
    <row r="55" spans="1:37" s="1" customFormat="1" x14ac:dyDescent="0.3">
      <c r="A55" s="17"/>
      <c r="K55" s="16"/>
      <c r="L55" s="16"/>
      <c r="AB55" s="17"/>
      <c r="AD55" s="38" t="s">
        <v>209</v>
      </c>
      <c r="AE55" s="53">
        <v>13</v>
      </c>
      <c r="AF55" s="71"/>
      <c r="AG55" s="36"/>
      <c r="AH55" s="67"/>
      <c r="AI55" s="36"/>
      <c r="AJ55" s="52">
        <f t="shared" si="0"/>
        <v>0</v>
      </c>
      <c r="AK55" s="34">
        <f t="shared" si="2"/>
        <v>0</v>
      </c>
    </row>
    <row r="56" spans="1:37" x14ac:dyDescent="0.3">
      <c r="A56" s="17"/>
      <c r="C56" s="1"/>
      <c r="D56" s="1"/>
      <c r="K56" s="16"/>
      <c r="L56" s="16"/>
      <c r="R56" s="1"/>
      <c r="S56" s="1"/>
      <c r="T56" s="1"/>
      <c r="U56" s="1"/>
      <c r="V56" s="1"/>
      <c r="W56" s="1"/>
      <c r="X56" s="1"/>
      <c r="AB56" s="17"/>
      <c r="AD56" s="38" t="s">
        <v>210</v>
      </c>
      <c r="AE56" s="53">
        <v>19</v>
      </c>
      <c r="AF56" s="71"/>
      <c r="AG56" s="36"/>
      <c r="AH56" s="67"/>
      <c r="AI56" s="36"/>
      <c r="AJ56" s="52">
        <f t="shared" si="0"/>
        <v>0</v>
      </c>
      <c r="AK56" s="34">
        <f t="shared" si="2"/>
        <v>0</v>
      </c>
    </row>
    <row r="57" spans="1:37" x14ac:dyDescent="0.3">
      <c r="A57" s="17"/>
      <c r="C57" s="1"/>
      <c r="D57" s="1"/>
      <c r="R57" s="1"/>
      <c r="S57" s="1"/>
      <c r="T57" s="1"/>
      <c r="U57" s="1"/>
      <c r="V57" s="1"/>
      <c r="W57" s="1"/>
      <c r="X57" s="1"/>
      <c r="AB57" s="17"/>
      <c r="AD57" s="33" t="s">
        <v>212</v>
      </c>
      <c r="AE57" s="34">
        <v>10</v>
      </c>
      <c r="AF57" s="71"/>
      <c r="AG57" s="36"/>
      <c r="AH57" s="67"/>
      <c r="AI57" s="36"/>
      <c r="AJ57" s="52">
        <f t="shared" si="0"/>
        <v>0</v>
      </c>
      <c r="AK57" s="34">
        <f t="shared" si="2"/>
        <v>0</v>
      </c>
    </row>
    <row r="58" spans="1:37" x14ac:dyDescent="0.3">
      <c r="A58" s="17"/>
      <c r="AB58" s="17"/>
      <c r="AD58" s="33" t="s">
        <v>481</v>
      </c>
      <c r="AE58" s="34">
        <v>20</v>
      </c>
      <c r="AF58" s="71"/>
      <c r="AG58" s="36"/>
      <c r="AH58" s="67"/>
      <c r="AI58" s="36"/>
      <c r="AJ58" s="52">
        <f t="shared" si="0"/>
        <v>0</v>
      </c>
      <c r="AK58" s="34">
        <f t="shared" si="2"/>
        <v>0</v>
      </c>
    </row>
    <row r="59" spans="1:37" s="1" customFormat="1" ht="14.4" customHeight="1" x14ac:dyDescent="0.3">
      <c r="A59" s="17"/>
      <c r="AB59" s="17"/>
      <c r="AD59" s="33"/>
      <c r="AE59" s="34"/>
      <c r="AF59" s="71"/>
      <c r="AG59" s="36"/>
      <c r="AH59" s="67"/>
      <c r="AI59" s="36"/>
      <c r="AJ59" s="52">
        <f t="shared" si="0"/>
        <v>0</v>
      </c>
      <c r="AK59" s="34">
        <f t="shared" si="2"/>
        <v>0</v>
      </c>
    </row>
    <row r="60" spans="1:37" ht="14.4" customHeight="1" x14ac:dyDescent="0.3">
      <c r="A60" s="17"/>
      <c r="AB60" s="17"/>
      <c r="AD60" s="38" t="s">
        <v>214</v>
      </c>
      <c r="AE60" s="53">
        <v>125</v>
      </c>
      <c r="AF60" s="71"/>
      <c r="AG60" s="36"/>
      <c r="AH60" s="67"/>
      <c r="AI60" s="36"/>
      <c r="AJ60" s="52">
        <f t="shared" si="0"/>
        <v>0</v>
      </c>
      <c r="AK60" s="34">
        <f t="shared" si="2"/>
        <v>0</v>
      </c>
    </row>
    <row r="61" spans="1:37" ht="14.4" customHeight="1" x14ac:dyDescent="0.3">
      <c r="A61" s="17"/>
      <c r="AB61" s="17"/>
      <c r="AD61" s="33" t="s">
        <v>215</v>
      </c>
      <c r="AE61" s="34">
        <v>125</v>
      </c>
      <c r="AF61" s="71"/>
      <c r="AG61" s="36"/>
      <c r="AH61" s="67"/>
      <c r="AI61" s="36"/>
      <c r="AJ61" s="52">
        <f t="shared" si="0"/>
        <v>0</v>
      </c>
      <c r="AK61" s="34">
        <f t="shared" si="2"/>
        <v>0</v>
      </c>
    </row>
    <row r="62" spans="1:37" ht="14.4" customHeight="1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D62" s="38" t="s">
        <v>216</v>
      </c>
      <c r="AE62" s="53">
        <v>125</v>
      </c>
      <c r="AF62" s="71"/>
      <c r="AG62" s="36"/>
      <c r="AH62" s="67"/>
      <c r="AI62" s="36"/>
      <c r="AJ62" s="52">
        <f t="shared" si="0"/>
        <v>0</v>
      </c>
      <c r="AK62" s="34">
        <f t="shared" si="2"/>
        <v>0</v>
      </c>
    </row>
    <row r="63" spans="1:37" ht="14.4" customHeight="1" x14ac:dyDescent="0.3">
      <c r="AD63" s="38" t="s">
        <v>217</v>
      </c>
      <c r="AE63" s="53">
        <v>125</v>
      </c>
      <c r="AF63" s="71"/>
      <c r="AG63" s="36"/>
      <c r="AH63" s="67"/>
      <c r="AI63" s="36"/>
      <c r="AJ63" s="52">
        <f t="shared" si="0"/>
        <v>0</v>
      </c>
      <c r="AK63" s="34">
        <f t="shared" si="2"/>
        <v>0</v>
      </c>
    </row>
    <row r="64" spans="1:37" ht="14.4" customHeight="1" x14ac:dyDescent="0.3">
      <c r="AD64" s="35" t="s">
        <v>383</v>
      </c>
      <c r="AE64" s="52">
        <v>72</v>
      </c>
      <c r="AF64" s="71"/>
      <c r="AG64" s="36"/>
      <c r="AH64" s="67"/>
      <c r="AI64" s="36"/>
      <c r="AJ64" s="52">
        <f t="shared" si="0"/>
        <v>0</v>
      </c>
      <c r="AK64" s="34">
        <f t="shared" si="2"/>
        <v>0</v>
      </c>
    </row>
    <row r="65" spans="30:37" ht="14.4" customHeight="1" x14ac:dyDescent="0.3">
      <c r="AD65" s="36" t="s">
        <v>378</v>
      </c>
      <c r="AE65" s="52">
        <v>1</v>
      </c>
      <c r="AF65" s="71"/>
      <c r="AG65" s="36"/>
      <c r="AH65" s="67"/>
      <c r="AI65" s="36"/>
      <c r="AJ65" s="52">
        <f t="shared" si="0"/>
        <v>0</v>
      </c>
      <c r="AK65" s="34">
        <f t="shared" si="2"/>
        <v>0</v>
      </c>
    </row>
    <row r="66" spans="30:37" x14ac:dyDescent="0.3">
      <c r="AD66" s="36" t="s">
        <v>379</v>
      </c>
      <c r="AE66" s="52">
        <v>12</v>
      </c>
      <c r="AF66" s="71"/>
      <c r="AG66" s="36"/>
      <c r="AH66" s="67"/>
      <c r="AI66" s="36"/>
      <c r="AJ66" s="52">
        <f t="shared" si="0"/>
        <v>0</v>
      </c>
      <c r="AK66" s="34">
        <f t="shared" si="2"/>
        <v>0</v>
      </c>
    </row>
    <row r="67" spans="30:37" x14ac:dyDescent="0.3">
      <c r="AD67" s="36" t="s">
        <v>380</v>
      </c>
      <c r="AE67" s="52">
        <v>15</v>
      </c>
      <c r="AF67" s="71"/>
      <c r="AG67" s="36"/>
      <c r="AH67" s="67"/>
      <c r="AI67" s="36"/>
      <c r="AJ67" s="52">
        <f t="shared" si="0"/>
        <v>0</v>
      </c>
      <c r="AK67" s="34">
        <f t="shared" si="2"/>
        <v>0</v>
      </c>
    </row>
    <row r="68" spans="30:37" x14ac:dyDescent="0.3">
      <c r="AD68" s="36" t="s">
        <v>381</v>
      </c>
      <c r="AE68" s="52">
        <v>15</v>
      </c>
      <c r="AF68" s="71"/>
      <c r="AG68" s="36"/>
      <c r="AH68" s="67"/>
      <c r="AI68" s="36"/>
      <c r="AJ68" s="52">
        <f t="shared" si="0"/>
        <v>0</v>
      </c>
      <c r="AK68" s="34">
        <f t="shared" si="2"/>
        <v>0</v>
      </c>
    </row>
    <row r="69" spans="30:37" x14ac:dyDescent="0.3">
      <c r="AD69" s="36" t="s">
        <v>382</v>
      </c>
      <c r="AE69" s="52">
        <v>10</v>
      </c>
      <c r="AF69" s="71"/>
      <c r="AG69" s="36"/>
      <c r="AH69" s="67"/>
      <c r="AI69" s="36"/>
      <c r="AJ69" s="52">
        <f t="shared" si="0"/>
        <v>0</v>
      </c>
      <c r="AK69" s="34">
        <f t="shared" si="2"/>
        <v>0</v>
      </c>
    </row>
    <row r="70" spans="30:37" x14ac:dyDescent="0.3">
      <c r="AD70" s="33" t="s">
        <v>218</v>
      </c>
      <c r="AE70" s="34">
        <v>25</v>
      </c>
      <c r="AF70" s="71"/>
      <c r="AG70" s="36"/>
      <c r="AH70" s="67"/>
      <c r="AI70" s="36"/>
      <c r="AJ70" s="52">
        <f t="shared" si="0"/>
        <v>0</v>
      </c>
      <c r="AK70" s="34">
        <f t="shared" si="2"/>
        <v>0</v>
      </c>
    </row>
    <row r="71" spans="30:37" x14ac:dyDescent="0.3">
      <c r="AD71" s="33" t="s">
        <v>219</v>
      </c>
      <c r="AE71" s="34">
        <v>30</v>
      </c>
      <c r="AF71" s="71"/>
      <c r="AG71" s="36"/>
      <c r="AH71" s="67"/>
      <c r="AI71" s="36"/>
      <c r="AJ71" s="52">
        <f t="shared" si="0"/>
        <v>0</v>
      </c>
      <c r="AK71" s="34">
        <f t="shared" si="2"/>
        <v>0</v>
      </c>
    </row>
    <row r="72" spans="30:37" x14ac:dyDescent="0.3">
      <c r="AD72" s="33" t="s">
        <v>220</v>
      </c>
      <c r="AE72" s="34">
        <v>105</v>
      </c>
      <c r="AF72" s="71"/>
      <c r="AG72" s="36"/>
      <c r="AH72" s="67"/>
      <c r="AI72" s="36"/>
      <c r="AJ72" s="52">
        <f t="shared" si="0"/>
        <v>0</v>
      </c>
      <c r="AK72" s="34">
        <f t="shared" si="2"/>
        <v>0</v>
      </c>
    </row>
    <row r="73" spans="30:37" x14ac:dyDescent="0.3">
      <c r="AD73" s="36" t="s">
        <v>379</v>
      </c>
      <c r="AE73" s="52">
        <v>12</v>
      </c>
      <c r="AF73" s="71"/>
      <c r="AG73" s="36"/>
      <c r="AH73" s="67"/>
      <c r="AI73" s="36"/>
      <c r="AJ73" s="52">
        <f t="shared" si="0"/>
        <v>0</v>
      </c>
      <c r="AK73" s="34">
        <f t="shared" si="2"/>
        <v>0</v>
      </c>
    </row>
    <row r="74" spans="30:37" x14ac:dyDescent="0.3">
      <c r="AD74" s="36" t="s">
        <v>380</v>
      </c>
      <c r="AE74" s="52">
        <v>15</v>
      </c>
      <c r="AF74" s="71"/>
      <c r="AG74" s="36"/>
      <c r="AH74" s="67"/>
      <c r="AI74" s="36"/>
      <c r="AJ74" s="52">
        <f t="shared" ref="AJ74:AJ137" si="3">SUM(AG74*AE74)</f>
        <v>0</v>
      </c>
      <c r="AK74" s="34">
        <f t="shared" si="2"/>
        <v>0</v>
      </c>
    </row>
    <row r="75" spans="30:37" x14ac:dyDescent="0.3">
      <c r="AD75" s="36" t="s">
        <v>381</v>
      </c>
      <c r="AE75" s="52">
        <v>15</v>
      </c>
      <c r="AF75" s="71"/>
      <c r="AG75" s="36"/>
      <c r="AH75" s="67"/>
      <c r="AI75" s="36"/>
      <c r="AJ75" s="52">
        <f t="shared" si="3"/>
        <v>0</v>
      </c>
      <c r="AK75" s="34">
        <f t="shared" ref="AK75:AK138" si="4">SUM(AE75*AF75)</f>
        <v>0</v>
      </c>
    </row>
    <row r="76" spans="30:37" x14ac:dyDescent="0.3">
      <c r="AD76" s="36" t="s">
        <v>382</v>
      </c>
      <c r="AE76" s="52">
        <v>10</v>
      </c>
      <c r="AF76" s="71"/>
      <c r="AG76" s="36"/>
      <c r="AH76" s="67"/>
      <c r="AI76" s="36"/>
      <c r="AJ76" s="52">
        <f t="shared" si="3"/>
        <v>0</v>
      </c>
      <c r="AK76" s="34">
        <f t="shared" si="4"/>
        <v>0</v>
      </c>
    </row>
    <row r="77" spans="30:37" x14ac:dyDescent="0.3">
      <c r="AD77" s="36" t="s">
        <v>383</v>
      </c>
      <c r="AE77" s="52">
        <v>53</v>
      </c>
      <c r="AF77" s="71"/>
      <c r="AG77" s="36"/>
      <c r="AH77" s="67"/>
      <c r="AI77" s="36"/>
      <c r="AJ77" s="52">
        <f t="shared" si="3"/>
        <v>0</v>
      </c>
      <c r="AK77" s="34">
        <f t="shared" si="4"/>
        <v>0</v>
      </c>
    </row>
    <row r="78" spans="30:37" x14ac:dyDescent="0.3">
      <c r="AD78" s="33" t="s">
        <v>221</v>
      </c>
      <c r="AE78" s="34">
        <v>55.5</v>
      </c>
      <c r="AF78" s="71"/>
      <c r="AG78" s="36"/>
      <c r="AH78" s="67"/>
      <c r="AI78" s="36"/>
      <c r="AJ78" s="52">
        <f t="shared" si="3"/>
        <v>0</v>
      </c>
      <c r="AK78" s="34">
        <f t="shared" si="4"/>
        <v>0</v>
      </c>
    </row>
    <row r="79" spans="30:37" x14ac:dyDescent="0.3">
      <c r="AD79" s="33" t="s">
        <v>222</v>
      </c>
      <c r="AE79" s="34">
        <v>62</v>
      </c>
      <c r="AF79" s="71"/>
      <c r="AG79" s="36"/>
      <c r="AH79" s="67"/>
      <c r="AI79" s="36"/>
      <c r="AJ79" s="52">
        <f t="shared" si="3"/>
        <v>0</v>
      </c>
      <c r="AK79" s="34">
        <f t="shared" si="4"/>
        <v>0</v>
      </c>
    </row>
    <row r="80" spans="30:37" x14ac:dyDescent="0.3">
      <c r="AD80" s="36" t="s">
        <v>379</v>
      </c>
      <c r="AE80" s="52">
        <v>12</v>
      </c>
      <c r="AF80" s="71"/>
      <c r="AG80" s="36"/>
      <c r="AH80" s="67"/>
      <c r="AI80" s="36"/>
      <c r="AJ80" s="52">
        <f t="shared" si="3"/>
        <v>0</v>
      </c>
      <c r="AK80" s="34">
        <f t="shared" si="4"/>
        <v>0</v>
      </c>
    </row>
    <row r="81" spans="30:37" x14ac:dyDescent="0.3">
      <c r="AD81" s="36" t="s">
        <v>380</v>
      </c>
      <c r="AE81" s="52">
        <v>15</v>
      </c>
      <c r="AF81" s="71"/>
      <c r="AG81" s="36"/>
      <c r="AH81" s="67"/>
      <c r="AI81" s="36"/>
      <c r="AJ81" s="52">
        <f t="shared" si="3"/>
        <v>0</v>
      </c>
      <c r="AK81" s="34">
        <f t="shared" si="4"/>
        <v>0</v>
      </c>
    </row>
    <row r="82" spans="30:37" x14ac:dyDescent="0.3">
      <c r="AD82" s="36" t="s">
        <v>384</v>
      </c>
      <c r="AE82" s="52">
        <v>35</v>
      </c>
      <c r="AF82" s="71"/>
      <c r="AG82" s="36"/>
      <c r="AH82" s="67"/>
      <c r="AI82" s="36"/>
      <c r="AJ82" s="52">
        <f t="shared" si="3"/>
        <v>0</v>
      </c>
      <c r="AK82" s="34">
        <f t="shared" si="4"/>
        <v>0</v>
      </c>
    </row>
    <row r="83" spans="30:37" x14ac:dyDescent="0.3">
      <c r="AD83" s="33" t="s">
        <v>223</v>
      </c>
      <c r="AE83" s="34">
        <v>62</v>
      </c>
      <c r="AF83" s="71"/>
      <c r="AG83" s="36"/>
      <c r="AH83" s="67"/>
      <c r="AI83" s="36"/>
      <c r="AJ83" s="52">
        <f t="shared" si="3"/>
        <v>0</v>
      </c>
      <c r="AK83" s="34">
        <f t="shared" si="4"/>
        <v>0</v>
      </c>
    </row>
    <row r="84" spans="30:37" x14ac:dyDescent="0.3">
      <c r="AD84" s="36" t="s">
        <v>379</v>
      </c>
      <c r="AE84" s="52">
        <v>12</v>
      </c>
      <c r="AF84" s="71"/>
      <c r="AG84" s="36"/>
      <c r="AH84" s="67"/>
      <c r="AI84" s="36"/>
      <c r="AJ84" s="52">
        <f t="shared" si="3"/>
        <v>0</v>
      </c>
      <c r="AK84" s="34">
        <f t="shared" si="4"/>
        <v>0</v>
      </c>
    </row>
    <row r="85" spans="30:37" x14ac:dyDescent="0.3">
      <c r="AD85" s="36" t="s">
        <v>380</v>
      </c>
      <c r="AE85" s="52">
        <v>15</v>
      </c>
      <c r="AF85" s="71"/>
      <c r="AG85" s="36"/>
      <c r="AH85" s="67"/>
      <c r="AI85" s="36"/>
      <c r="AJ85" s="52">
        <f t="shared" si="3"/>
        <v>0</v>
      </c>
      <c r="AK85" s="34">
        <f t="shared" si="4"/>
        <v>0</v>
      </c>
    </row>
    <row r="86" spans="30:37" x14ac:dyDescent="0.3">
      <c r="AD86" s="36" t="s">
        <v>384</v>
      </c>
      <c r="AE86" s="52">
        <v>35</v>
      </c>
      <c r="AF86" s="71"/>
      <c r="AG86" s="36"/>
      <c r="AH86" s="67"/>
      <c r="AI86" s="36"/>
      <c r="AJ86" s="52">
        <f t="shared" si="3"/>
        <v>0</v>
      </c>
      <c r="AK86" s="34">
        <f t="shared" si="4"/>
        <v>0</v>
      </c>
    </row>
    <row r="87" spans="30:37" x14ac:dyDescent="0.3">
      <c r="AD87" s="33" t="s">
        <v>224</v>
      </c>
      <c r="AE87" s="34">
        <v>29</v>
      </c>
      <c r="AF87" s="71"/>
      <c r="AG87" s="36"/>
      <c r="AH87" s="67"/>
      <c r="AI87" s="36"/>
      <c r="AJ87" s="52">
        <f t="shared" si="3"/>
        <v>0</v>
      </c>
      <c r="AK87" s="34">
        <f t="shared" si="4"/>
        <v>0</v>
      </c>
    </row>
    <row r="88" spans="30:37" x14ac:dyDescent="0.3">
      <c r="AD88" s="33" t="s">
        <v>225</v>
      </c>
      <c r="AE88" s="34">
        <v>50</v>
      </c>
      <c r="AF88" s="71"/>
      <c r="AG88" s="36"/>
      <c r="AH88" s="67"/>
      <c r="AI88" s="36"/>
      <c r="AJ88" s="52">
        <f t="shared" si="3"/>
        <v>0</v>
      </c>
      <c r="AK88" s="34">
        <f t="shared" si="4"/>
        <v>0</v>
      </c>
    </row>
    <row r="89" spans="30:37" x14ac:dyDescent="0.3">
      <c r="AD89" s="33" t="s">
        <v>226</v>
      </c>
      <c r="AE89" s="34">
        <v>60</v>
      </c>
      <c r="AF89" s="71"/>
      <c r="AG89" s="36"/>
      <c r="AH89" s="67"/>
      <c r="AI89" s="36"/>
      <c r="AJ89" s="52">
        <f t="shared" si="3"/>
        <v>0</v>
      </c>
      <c r="AK89" s="34">
        <f t="shared" si="4"/>
        <v>0</v>
      </c>
    </row>
    <row r="90" spans="30:37" x14ac:dyDescent="0.3">
      <c r="AD90" s="33" t="s">
        <v>227</v>
      </c>
      <c r="AE90" s="34">
        <v>25</v>
      </c>
      <c r="AF90" s="71"/>
      <c r="AG90" s="36"/>
      <c r="AH90" s="67"/>
      <c r="AI90" s="36"/>
      <c r="AJ90" s="52">
        <f t="shared" si="3"/>
        <v>0</v>
      </c>
      <c r="AK90" s="34">
        <f t="shared" si="4"/>
        <v>0</v>
      </c>
    </row>
    <row r="91" spans="30:37" x14ac:dyDescent="0.3">
      <c r="AD91" s="33" t="s">
        <v>228</v>
      </c>
      <c r="AE91" s="34">
        <v>25</v>
      </c>
      <c r="AF91" s="71"/>
      <c r="AG91" s="36"/>
      <c r="AH91" s="67"/>
      <c r="AI91" s="36"/>
      <c r="AJ91" s="52">
        <f t="shared" si="3"/>
        <v>0</v>
      </c>
      <c r="AK91" s="34">
        <f t="shared" si="4"/>
        <v>0</v>
      </c>
    </row>
    <row r="92" spans="30:37" x14ac:dyDescent="0.3">
      <c r="AD92" s="33" t="s">
        <v>229</v>
      </c>
      <c r="AE92" s="34">
        <v>43</v>
      </c>
      <c r="AF92" s="71"/>
      <c r="AG92" s="36"/>
      <c r="AH92" s="67"/>
      <c r="AI92" s="36"/>
      <c r="AJ92" s="52">
        <f t="shared" si="3"/>
        <v>0</v>
      </c>
      <c r="AK92" s="34">
        <f t="shared" si="4"/>
        <v>0</v>
      </c>
    </row>
    <row r="93" spans="30:37" x14ac:dyDescent="0.3">
      <c r="AD93" s="33" t="s">
        <v>230</v>
      </c>
      <c r="AE93" s="34">
        <v>40</v>
      </c>
      <c r="AF93" s="71"/>
      <c r="AG93" s="36"/>
      <c r="AH93" s="67"/>
      <c r="AI93" s="36"/>
      <c r="AJ93" s="52">
        <f t="shared" si="3"/>
        <v>0</v>
      </c>
      <c r="AK93" s="34">
        <f t="shared" si="4"/>
        <v>0</v>
      </c>
    </row>
    <row r="94" spans="30:37" x14ac:dyDescent="0.3">
      <c r="AD94" s="33" t="s">
        <v>231</v>
      </c>
      <c r="AE94" s="34">
        <v>1.5</v>
      </c>
      <c r="AF94" s="71"/>
      <c r="AG94" s="36"/>
      <c r="AH94" s="67"/>
      <c r="AI94" s="36"/>
      <c r="AJ94" s="52">
        <f t="shared" si="3"/>
        <v>0</v>
      </c>
      <c r="AK94" s="34">
        <f t="shared" si="4"/>
        <v>0</v>
      </c>
    </row>
    <row r="95" spans="30:37" x14ac:dyDescent="0.3">
      <c r="AD95" s="33" t="s">
        <v>232</v>
      </c>
      <c r="AE95" s="34">
        <v>55</v>
      </c>
      <c r="AF95" s="71"/>
      <c r="AG95" s="36"/>
      <c r="AH95" s="67"/>
      <c r="AI95" s="36"/>
      <c r="AJ95" s="52">
        <f t="shared" si="3"/>
        <v>0</v>
      </c>
      <c r="AK95" s="34">
        <f t="shared" si="4"/>
        <v>0</v>
      </c>
    </row>
    <row r="96" spans="30:37" x14ac:dyDescent="0.3">
      <c r="AD96" s="33" t="s">
        <v>233</v>
      </c>
      <c r="AE96" s="34">
        <v>50</v>
      </c>
      <c r="AF96" s="71"/>
      <c r="AG96" s="36"/>
      <c r="AH96" s="67"/>
      <c r="AI96" s="36"/>
      <c r="AJ96" s="52">
        <f t="shared" si="3"/>
        <v>0</v>
      </c>
      <c r="AK96" s="34">
        <f t="shared" si="4"/>
        <v>0</v>
      </c>
    </row>
    <row r="97" spans="30:37" x14ac:dyDescent="0.3">
      <c r="AD97" s="33" t="s">
        <v>234</v>
      </c>
      <c r="AE97" s="34">
        <v>50</v>
      </c>
      <c r="AF97" s="71"/>
      <c r="AG97" s="36"/>
      <c r="AH97" s="67"/>
      <c r="AI97" s="36"/>
      <c r="AJ97" s="52">
        <f t="shared" si="3"/>
        <v>0</v>
      </c>
      <c r="AK97" s="34">
        <f t="shared" si="4"/>
        <v>0</v>
      </c>
    </row>
    <row r="98" spans="30:37" x14ac:dyDescent="0.3">
      <c r="AD98" s="38" t="s">
        <v>235</v>
      </c>
      <c r="AE98" s="53">
        <v>10</v>
      </c>
      <c r="AF98" s="71"/>
      <c r="AG98" s="36"/>
      <c r="AH98" s="67"/>
      <c r="AI98" s="36"/>
      <c r="AJ98" s="52">
        <f t="shared" si="3"/>
        <v>0</v>
      </c>
      <c r="AK98" s="34">
        <f t="shared" si="4"/>
        <v>0</v>
      </c>
    </row>
    <row r="99" spans="30:37" x14ac:dyDescent="0.3">
      <c r="AD99" s="38" t="s">
        <v>236</v>
      </c>
      <c r="AE99" s="53">
        <v>10</v>
      </c>
      <c r="AF99" s="71"/>
      <c r="AG99" s="36"/>
      <c r="AH99" s="67"/>
      <c r="AI99" s="36"/>
      <c r="AJ99" s="52">
        <f t="shared" si="3"/>
        <v>0</v>
      </c>
      <c r="AK99" s="34">
        <f t="shared" si="4"/>
        <v>0</v>
      </c>
    </row>
    <row r="100" spans="30:37" x14ac:dyDescent="0.3">
      <c r="AD100" s="33" t="s">
        <v>237</v>
      </c>
      <c r="AE100" s="34">
        <v>9</v>
      </c>
      <c r="AF100" s="71"/>
      <c r="AG100" s="36"/>
      <c r="AH100" s="67"/>
      <c r="AI100" s="36"/>
      <c r="AJ100" s="52">
        <f t="shared" si="3"/>
        <v>0</v>
      </c>
      <c r="AK100" s="34">
        <f t="shared" si="4"/>
        <v>0</v>
      </c>
    </row>
    <row r="101" spans="30:37" x14ac:dyDescent="0.3">
      <c r="AD101" s="33" t="s">
        <v>238</v>
      </c>
      <c r="AE101" s="34">
        <v>63</v>
      </c>
      <c r="AF101" s="71"/>
      <c r="AG101" s="36"/>
      <c r="AH101" s="67"/>
      <c r="AI101" s="36"/>
      <c r="AJ101" s="52">
        <f t="shared" si="3"/>
        <v>0</v>
      </c>
      <c r="AK101" s="34">
        <f t="shared" si="4"/>
        <v>0</v>
      </c>
    </row>
    <row r="102" spans="30:37" x14ac:dyDescent="0.3">
      <c r="AD102" s="33" t="s">
        <v>385</v>
      </c>
      <c r="AE102" s="34">
        <v>30</v>
      </c>
      <c r="AF102" s="71"/>
      <c r="AG102" s="36"/>
      <c r="AH102" s="67"/>
      <c r="AI102" s="36"/>
      <c r="AJ102" s="52">
        <f t="shared" si="3"/>
        <v>0</v>
      </c>
      <c r="AK102" s="34">
        <f t="shared" si="4"/>
        <v>0</v>
      </c>
    </row>
    <row r="103" spans="30:37" x14ac:dyDescent="0.3">
      <c r="AD103" s="33" t="s">
        <v>239</v>
      </c>
      <c r="AE103" s="34">
        <v>80</v>
      </c>
      <c r="AF103" s="71"/>
      <c r="AG103" s="36"/>
      <c r="AH103" s="67"/>
      <c r="AI103" s="36"/>
      <c r="AJ103" s="52">
        <f t="shared" si="3"/>
        <v>0</v>
      </c>
      <c r="AK103" s="34">
        <f t="shared" si="4"/>
        <v>0</v>
      </c>
    </row>
    <row r="104" spans="30:37" x14ac:dyDescent="0.3">
      <c r="AD104" s="33" t="s">
        <v>240</v>
      </c>
      <c r="AE104" s="34">
        <v>350</v>
      </c>
      <c r="AF104" s="71"/>
      <c r="AG104" s="36"/>
      <c r="AH104" s="67"/>
      <c r="AI104" s="36"/>
      <c r="AJ104" s="52">
        <f t="shared" si="3"/>
        <v>0</v>
      </c>
      <c r="AK104" s="34">
        <f t="shared" si="4"/>
        <v>0</v>
      </c>
    </row>
    <row r="105" spans="30:37" x14ac:dyDescent="0.3">
      <c r="AD105" s="35" t="s">
        <v>386</v>
      </c>
      <c r="AE105" s="52">
        <v>30</v>
      </c>
      <c r="AF105" s="71"/>
      <c r="AG105" s="36"/>
      <c r="AH105" s="67"/>
      <c r="AI105" s="36"/>
      <c r="AJ105" s="52">
        <f t="shared" si="3"/>
        <v>0</v>
      </c>
      <c r="AK105" s="34">
        <f t="shared" si="4"/>
        <v>0</v>
      </c>
    </row>
    <row r="106" spans="30:37" x14ac:dyDescent="0.3">
      <c r="AD106" s="35" t="s">
        <v>387</v>
      </c>
      <c r="AE106" s="52">
        <v>20</v>
      </c>
      <c r="AF106" s="71"/>
      <c r="AG106" s="36"/>
      <c r="AH106" s="67"/>
      <c r="AI106" s="36"/>
      <c r="AJ106" s="52">
        <f t="shared" si="3"/>
        <v>0</v>
      </c>
      <c r="AK106" s="34">
        <f t="shared" si="4"/>
        <v>0</v>
      </c>
    </row>
    <row r="107" spans="30:37" x14ac:dyDescent="0.3">
      <c r="AD107" s="33" t="s">
        <v>241</v>
      </c>
      <c r="AE107" s="34">
        <v>35</v>
      </c>
      <c r="AF107" s="71"/>
      <c r="AG107" s="36"/>
      <c r="AH107" s="67"/>
      <c r="AI107" s="36"/>
      <c r="AJ107" s="52">
        <f t="shared" si="3"/>
        <v>0</v>
      </c>
      <c r="AK107" s="34">
        <f t="shared" si="4"/>
        <v>0</v>
      </c>
    </row>
    <row r="108" spans="30:37" x14ac:dyDescent="0.3">
      <c r="AD108" s="1"/>
      <c r="AE108" s="39"/>
      <c r="AF108" s="72"/>
      <c r="AG108" s="36"/>
      <c r="AH108" s="67"/>
      <c r="AI108" s="36"/>
      <c r="AJ108" s="52">
        <f t="shared" si="3"/>
        <v>0</v>
      </c>
      <c r="AK108" s="34">
        <f t="shared" si="4"/>
        <v>0</v>
      </c>
    </row>
    <row r="109" spans="30:37" x14ac:dyDescent="0.3">
      <c r="AD109" s="33" t="s">
        <v>242</v>
      </c>
      <c r="AE109" s="34">
        <v>65</v>
      </c>
      <c r="AF109" s="71"/>
      <c r="AG109" s="36"/>
      <c r="AH109" s="67"/>
      <c r="AI109" s="36"/>
      <c r="AJ109" s="52">
        <f t="shared" si="3"/>
        <v>0</v>
      </c>
      <c r="AK109" s="34">
        <f t="shared" si="4"/>
        <v>0</v>
      </c>
    </row>
    <row r="110" spans="30:37" x14ac:dyDescent="0.3">
      <c r="AD110" s="35" t="s">
        <v>189</v>
      </c>
      <c r="AE110" s="52">
        <v>10</v>
      </c>
      <c r="AF110" s="71"/>
      <c r="AG110" s="36"/>
      <c r="AH110" s="67"/>
      <c r="AI110" s="36"/>
      <c r="AJ110" s="52">
        <f t="shared" si="3"/>
        <v>0</v>
      </c>
      <c r="AK110" s="34">
        <f t="shared" si="4"/>
        <v>0</v>
      </c>
    </row>
    <row r="111" spans="30:37" x14ac:dyDescent="0.3">
      <c r="AD111" s="35" t="s">
        <v>388</v>
      </c>
      <c r="AE111" s="52">
        <v>20</v>
      </c>
      <c r="AF111" s="71"/>
      <c r="AG111" s="36"/>
      <c r="AH111" s="67"/>
      <c r="AI111" s="36"/>
      <c r="AJ111" s="52">
        <f t="shared" si="3"/>
        <v>0</v>
      </c>
      <c r="AK111" s="34">
        <f t="shared" si="4"/>
        <v>0</v>
      </c>
    </row>
    <row r="112" spans="30:37" x14ac:dyDescent="0.3">
      <c r="AD112" s="35" t="s">
        <v>389</v>
      </c>
      <c r="AE112" s="52">
        <v>20</v>
      </c>
      <c r="AF112" s="71"/>
      <c r="AG112" s="36"/>
      <c r="AH112" s="67"/>
      <c r="AI112" s="36"/>
      <c r="AJ112" s="52">
        <f t="shared" si="3"/>
        <v>0</v>
      </c>
      <c r="AK112" s="34">
        <f t="shared" si="4"/>
        <v>0</v>
      </c>
    </row>
    <row r="113" spans="30:37" x14ac:dyDescent="0.3">
      <c r="AD113" s="35" t="s">
        <v>390</v>
      </c>
      <c r="AE113" s="52">
        <v>15</v>
      </c>
      <c r="AF113" s="71"/>
      <c r="AG113" s="36"/>
      <c r="AH113" s="67"/>
      <c r="AI113" s="36"/>
      <c r="AJ113" s="52">
        <f t="shared" si="3"/>
        <v>0</v>
      </c>
      <c r="AK113" s="34">
        <f t="shared" si="4"/>
        <v>0</v>
      </c>
    </row>
    <row r="114" spans="30:37" x14ac:dyDescent="0.3">
      <c r="AD114" s="33" t="s">
        <v>243</v>
      </c>
      <c r="AE114" s="34">
        <v>20</v>
      </c>
      <c r="AF114" s="71"/>
      <c r="AG114" s="36"/>
      <c r="AH114" s="67"/>
      <c r="AI114" s="36"/>
      <c r="AJ114" s="52">
        <f t="shared" si="3"/>
        <v>0</v>
      </c>
      <c r="AK114" s="34">
        <f t="shared" si="4"/>
        <v>0</v>
      </c>
    </row>
    <row r="115" spans="30:37" x14ac:dyDescent="0.3">
      <c r="AD115" s="33" t="s">
        <v>244</v>
      </c>
      <c r="AE115" s="34">
        <v>25</v>
      </c>
      <c r="AF115" s="71"/>
      <c r="AG115" s="36"/>
      <c r="AH115" s="67"/>
      <c r="AI115" s="36"/>
      <c r="AJ115" s="52">
        <f t="shared" si="3"/>
        <v>0</v>
      </c>
      <c r="AK115" s="34">
        <f t="shared" si="4"/>
        <v>0</v>
      </c>
    </row>
    <row r="116" spans="30:37" x14ac:dyDescent="0.3">
      <c r="AD116" s="33" t="s">
        <v>245</v>
      </c>
      <c r="AE116" s="34">
        <v>58</v>
      </c>
      <c r="AF116" s="71"/>
      <c r="AG116" s="36"/>
      <c r="AH116" s="67"/>
      <c r="AI116" s="36"/>
      <c r="AJ116" s="52">
        <f t="shared" si="3"/>
        <v>0</v>
      </c>
      <c r="AK116" s="34">
        <f t="shared" si="4"/>
        <v>0</v>
      </c>
    </row>
    <row r="117" spans="30:37" x14ac:dyDescent="0.3">
      <c r="AD117" s="33" t="s">
        <v>246</v>
      </c>
      <c r="AE117" s="34">
        <v>120</v>
      </c>
      <c r="AF117" s="71"/>
      <c r="AG117" s="36"/>
      <c r="AH117" s="67"/>
      <c r="AI117" s="36"/>
      <c r="AJ117" s="52">
        <f t="shared" si="3"/>
        <v>0</v>
      </c>
      <c r="AK117" s="34">
        <f t="shared" si="4"/>
        <v>0</v>
      </c>
    </row>
    <row r="118" spans="30:37" x14ac:dyDescent="0.3">
      <c r="AD118" s="35" t="s">
        <v>391</v>
      </c>
      <c r="AE118" s="52">
        <v>50</v>
      </c>
      <c r="AF118" s="71"/>
      <c r="AG118" s="36"/>
      <c r="AH118" s="67"/>
      <c r="AI118" s="36"/>
      <c r="AJ118" s="52">
        <f t="shared" si="3"/>
        <v>0</v>
      </c>
      <c r="AK118" s="34">
        <f t="shared" si="4"/>
        <v>0</v>
      </c>
    </row>
    <row r="119" spans="30:37" x14ac:dyDescent="0.3">
      <c r="AD119" s="35" t="s">
        <v>392</v>
      </c>
      <c r="AE119" s="52">
        <v>70</v>
      </c>
      <c r="AF119" s="71"/>
      <c r="AG119" s="36"/>
      <c r="AH119" s="67"/>
      <c r="AI119" s="36"/>
      <c r="AJ119" s="52">
        <f t="shared" si="3"/>
        <v>0</v>
      </c>
      <c r="AK119" s="34">
        <f t="shared" si="4"/>
        <v>0</v>
      </c>
    </row>
    <row r="120" spans="30:37" x14ac:dyDescent="0.3">
      <c r="AD120" s="33" t="s">
        <v>247</v>
      </c>
      <c r="AE120" s="34">
        <v>180</v>
      </c>
      <c r="AF120" s="71"/>
      <c r="AG120" s="36"/>
      <c r="AH120" s="67"/>
      <c r="AI120" s="36"/>
      <c r="AJ120" s="52">
        <f t="shared" si="3"/>
        <v>0</v>
      </c>
      <c r="AK120" s="34">
        <f t="shared" si="4"/>
        <v>0</v>
      </c>
    </row>
    <row r="121" spans="30:37" x14ac:dyDescent="0.3">
      <c r="AD121" s="35" t="s">
        <v>391</v>
      </c>
      <c r="AE121" s="52">
        <v>80</v>
      </c>
      <c r="AF121" s="71"/>
      <c r="AG121" s="36"/>
      <c r="AH121" s="67"/>
      <c r="AI121" s="36"/>
      <c r="AJ121" s="52">
        <f t="shared" si="3"/>
        <v>0</v>
      </c>
      <c r="AK121" s="34">
        <f t="shared" si="4"/>
        <v>0</v>
      </c>
    </row>
    <row r="122" spans="30:37" x14ac:dyDescent="0.3">
      <c r="AD122" s="35" t="s">
        <v>392</v>
      </c>
      <c r="AE122" s="52">
        <v>100</v>
      </c>
      <c r="AF122" s="71"/>
      <c r="AG122" s="36"/>
      <c r="AH122" s="67"/>
      <c r="AI122" s="36"/>
      <c r="AJ122" s="52">
        <f t="shared" si="3"/>
        <v>0</v>
      </c>
      <c r="AK122" s="34">
        <f t="shared" si="4"/>
        <v>0</v>
      </c>
    </row>
    <row r="123" spans="30:37" x14ac:dyDescent="0.3">
      <c r="AD123" s="54" t="s">
        <v>248</v>
      </c>
      <c r="AE123" s="55">
        <v>16</v>
      </c>
      <c r="AF123" s="73"/>
      <c r="AG123" s="36"/>
      <c r="AH123" s="67"/>
      <c r="AI123" s="36"/>
      <c r="AJ123" s="52">
        <f t="shared" si="3"/>
        <v>0</v>
      </c>
      <c r="AK123" s="34">
        <f t="shared" si="4"/>
        <v>0</v>
      </c>
    </row>
    <row r="124" spans="30:37" x14ac:dyDescent="0.3">
      <c r="AD124" s="54" t="s">
        <v>249</v>
      </c>
      <c r="AE124" s="55">
        <v>16</v>
      </c>
      <c r="AF124" s="73"/>
      <c r="AG124" s="36"/>
      <c r="AH124" s="67"/>
      <c r="AI124" s="36"/>
      <c r="AJ124" s="52">
        <f t="shared" si="3"/>
        <v>0</v>
      </c>
      <c r="AK124" s="34">
        <f t="shared" si="4"/>
        <v>0</v>
      </c>
    </row>
    <row r="125" spans="30:37" x14ac:dyDescent="0.3">
      <c r="AD125" s="38" t="s">
        <v>250</v>
      </c>
      <c r="AE125" s="53">
        <v>150</v>
      </c>
      <c r="AF125" s="71"/>
      <c r="AG125" s="36"/>
      <c r="AH125" s="67"/>
      <c r="AI125" s="36"/>
      <c r="AJ125" s="52">
        <f t="shared" si="3"/>
        <v>0</v>
      </c>
      <c r="AK125" s="34">
        <f t="shared" si="4"/>
        <v>0</v>
      </c>
    </row>
    <row r="126" spans="30:37" x14ac:dyDescent="0.3">
      <c r="AD126" s="33" t="s">
        <v>251</v>
      </c>
      <c r="AE126" s="34">
        <v>1000</v>
      </c>
      <c r="AF126" s="71"/>
      <c r="AG126" s="36"/>
      <c r="AH126" s="67"/>
      <c r="AI126" s="36"/>
      <c r="AJ126" s="52">
        <f t="shared" si="3"/>
        <v>0</v>
      </c>
      <c r="AK126" s="34">
        <f t="shared" si="4"/>
        <v>0</v>
      </c>
    </row>
    <row r="127" spans="30:37" x14ac:dyDescent="0.3">
      <c r="AD127" s="35" t="s">
        <v>393</v>
      </c>
      <c r="AE127" s="34"/>
      <c r="AF127" s="71"/>
      <c r="AG127" s="36"/>
      <c r="AH127" s="67"/>
      <c r="AI127" s="36"/>
      <c r="AJ127" s="52">
        <f t="shared" si="3"/>
        <v>0</v>
      </c>
      <c r="AK127" s="34">
        <f t="shared" si="4"/>
        <v>0</v>
      </c>
    </row>
    <row r="128" spans="30:37" x14ac:dyDescent="0.3">
      <c r="AD128" s="35" t="s">
        <v>392</v>
      </c>
      <c r="AE128" s="34"/>
      <c r="AF128" s="71"/>
      <c r="AG128" s="36"/>
      <c r="AH128" s="67"/>
      <c r="AI128" s="36"/>
      <c r="AJ128" s="52">
        <f t="shared" si="3"/>
        <v>0</v>
      </c>
      <c r="AK128" s="34">
        <f t="shared" si="4"/>
        <v>0</v>
      </c>
    </row>
    <row r="129" spans="30:37" x14ac:dyDescent="0.3">
      <c r="AD129" s="33" t="s">
        <v>252</v>
      </c>
      <c r="AE129" s="34">
        <v>2380</v>
      </c>
      <c r="AF129" s="71"/>
      <c r="AG129" s="36"/>
      <c r="AH129" s="67"/>
      <c r="AI129" s="36"/>
      <c r="AJ129" s="52">
        <f t="shared" si="3"/>
        <v>0</v>
      </c>
      <c r="AK129" s="34">
        <f t="shared" si="4"/>
        <v>0</v>
      </c>
    </row>
    <row r="130" spans="30:37" x14ac:dyDescent="0.3">
      <c r="AD130" s="35" t="s">
        <v>393</v>
      </c>
      <c r="AE130" s="34"/>
      <c r="AF130" s="71"/>
      <c r="AG130" s="36"/>
      <c r="AH130" s="67"/>
      <c r="AI130" s="36"/>
      <c r="AJ130" s="52">
        <f t="shared" si="3"/>
        <v>0</v>
      </c>
      <c r="AK130" s="34">
        <f t="shared" si="4"/>
        <v>0</v>
      </c>
    </row>
    <row r="131" spans="30:37" x14ac:dyDescent="0.3">
      <c r="AD131" s="35" t="s">
        <v>392</v>
      </c>
      <c r="AE131" s="34"/>
      <c r="AF131" s="71"/>
      <c r="AG131" s="36"/>
      <c r="AH131" s="67"/>
      <c r="AI131" s="36"/>
      <c r="AJ131" s="52">
        <f t="shared" si="3"/>
        <v>0</v>
      </c>
      <c r="AK131" s="34">
        <f t="shared" si="4"/>
        <v>0</v>
      </c>
    </row>
    <row r="132" spans="30:37" x14ac:dyDescent="0.3">
      <c r="AD132" s="40"/>
      <c r="AE132" s="34"/>
      <c r="AF132" s="71"/>
      <c r="AG132" s="36"/>
      <c r="AH132" s="67"/>
      <c r="AI132" s="36"/>
      <c r="AJ132" s="52">
        <f t="shared" si="3"/>
        <v>0</v>
      </c>
      <c r="AK132" s="34">
        <f t="shared" si="4"/>
        <v>0</v>
      </c>
    </row>
    <row r="133" spans="30:37" x14ac:dyDescent="0.3">
      <c r="AD133" s="33" t="s">
        <v>253</v>
      </c>
      <c r="AE133" s="34">
        <v>120</v>
      </c>
      <c r="AF133" s="71"/>
      <c r="AG133" s="36"/>
      <c r="AH133" s="67"/>
      <c r="AI133" s="36"/>
      <c r="AJ133" s="52">
        <f t="shared" si="3"/>
        <v>0</v>
      </c>
      <c r="AK133" s="34">
        <f t="shared" si="4"/>
        <v>0</v>
      </c>
    </row>
    <row r="134" spans="30:37" x14ac:dyDescent="0.3">
      <c r="AD134" s="33" t="s">
        <v>254</v>
      </c>
      <c r="AE134" s="34">
        <v>130</v>
      </c>
      <c r="AF134" s="71"/>
      <c r="AG134" s="36"/>
      <c r="AH134" s="67"/>
      <c r="AI134" s="36"/>
      <c r="AJ134" s="52">
        <f t="shared" si="3"/>
        <v>0</v>
      </c>
      <c r="AK134" s="34">
        <f t="shared" si="4"/>
        <v>0</v>
      </c>
    </row>
    <row r="135" spans="30:37" x14ac:dyDescent="0.3">
      <c r="AD135" s="36" t="s">
        <v>378</v>
      </c>
      <c r="AE135" s="52">
        <v>1</v>
      </c>
      <c r="AF135" s="71"/>
      <c r="AG135" s="36"/>
      <c r="AH135" s="67"/>
      <c r="AI135" s="36"/>
      <c r="AJ135" s="52">
        <f t="shared" si="3"/>
        <v>0</v>
      </c>
      <c r="AK135" s="34">
        <f t="shared" si="4"/>
        <v>0</v>
      </c>
    </row>
    <row r="136" spans="30:37" x14ac:dyDescent="0.3">
      <c r="AD136" s="36" t="s">
        <v>394</v>
      </c>
      <c r="AE136" s="52">
        <v>30</v>
      </c>
      <c r="AF136" s="71"/>
      <c r="AG136" s="36"/>
      <c r="AH136" s="67"/>
      <c r="AI136" s="36"/>
      <c r="AJ136" s="52">
        <f t="shared" si="3"/>
        <v>0</v>
      </c>
      <c r="AK136" s="34">
        <f t="shared" si="4"/>
        <v>0</v>
      </c>
    </row>
    <row r="137" spans="30:37" x14ac:dyDescent="0.3">
      <c r="AD137" s="36" t="s">
        <v>380</v>
      </c>
      <c r="AE137" s="52">
        <v>15</v>
      </c>
      <c r="AF137" s="71"/>
      <c r="AG137" s="36"/>
      <c r="AH137" s="67"/>
      <c r="AI137" s="36"/>
      <c r="AJ137" s="52">
        <f t="shared" si="3"/>
        <v>0</v>
      </c>
      <c r="AK137" s="34">
        <f t="shared" si="4"/>
        <v>0</v>
      </c>
    </row>
    <row r="138" spans="30:37" x14ac:dyDescent="0.3">
      <c r="AD138" s="36" t="s">
        <v>395</v>
      </c>
      <c r="AE138" s="52">
        <v>24</v>
      </c>
      <c r="AF138" s="71"/>
      <c r="AG138" s="36"/>
      <c r="AH138" s="67"/>
      <c r="AI138" s="36"/>
      <c r="AJ138" s="52">
        <f t="shared" ref="AJ138:AJ201" si="5">SUM(AG138*AE138)</f>
        <v>0</v>
      </c>
      <c r="AK138" s="34">
        <f t="shared" si="4"/>
        <v>0</v>
      </c>
    </row>
    <row r="139" spans="30:37" x14ac:dyDescent="0.3">
      <c r="AD139" s="35" t="s">
        <v>386</v>
      </c>
      <c r="AE139" s="52">
        <v>10</v>
      </c>
      <c r="AF139" s="71"/>
      <c r="AG139" s="36"/>
      <c r="AH139" s="67"/>
      <c r="AI139" s="36"/>
      <c r="AJ139" s="52">
        <f t="shared" si="5"/>
        <v>0</v>
      </c>
      <c r="AK139" s="34">
        <f t="shared" ref="AK139:AK202" si="6">SUM(AE139*AF139)</f>
        <v>0</v>
      </c>
    </row>
    <row r="140" spans="30:37" x14ac:dyDescent="0.3">
      <c r="AD140" s="35" t="s">
        <v>396</v>
      </c>
      <c r="AE140" s="52">
        <v>30</v>
      </c>
      <c r="AF140" s="71"/>
      <c r="AG140" s="36"/>
      <c r="AH140" s="67"/>
      <c r="AI140" s="36"/>
      <c r="AJ140" s="52">
        <f t="shared" si="5"/>
        <v>0</v>
      </c>
      <c r="AK140" s="34">
        <f t="shared" si="6"/>
        <v>0</v>
      </c>
    </row>
    <row r="141" spans="30:37" x14ac:dyDescent="0.3">
      <c r="AD141" s="35" t="s">
        <v>397</v>
      </c>
      <c r="AE141" s="52">
        <v>10</v>
      </c>
      <c r="AF141" s="71"/>
      <c r="AG141" s="36"/>
      <c r="AH141" s="67"/>
      <c r="AI141" s="36"/>
      <c r="AJ141" s="52">
        <f t="shared" si="5"/>
        <v>0</v>
      </c>
      <c r="AK141" s="34">
        <f t="shared" si="6"/>
        <v>0</v>
      </c>
    </row>
    <row r="142" spans="30:37" x14ac:dyDescent="0.3">
      <c r="AD142" s="35" t="s">
        <v>387</v>
      </c>
      <c r="AE142" s="52">
        <v>10</v>
      </c>
      <c r="AF142" s="71"/>
      <c r="AG142" s="36"/>
      <c r="AH142" s="67"/>
      <c r="AI142" s="36"/>
      <c r="AJ142" s="52">
        <f t="shared" si="5"/>
        <v>0</v>
      </c>
      <c r="AK142" s="34">
        <f t="shared" si="6"/>
        <v>0</v>
      </c>
    </row>
    <row r="143" spans="30:37" x14ac:dyDescent="0.3">
      <c r="AD143" s="33" t="s">
        <v>255</v>
      </c>
      <c r="AE143" s="34">
        <v>60</v>
      </c>
      <c r="AF143" s="71"/>
      <c r="AG143" s="36"/>
      <c r="AH143" s="67"/>
      <c r="AI143" s="36"/>
      <c r="AJ143" s="52">
        <f t="shared" si="5"/>
        <v>0</v>
      </c>
      <c r="AK143" s="34">
        <f t="shared" si="6"/>
        <v>0</v>
      </c>
    </row>
    <row r="144" spans="30:37" x14ac:dyDescent="0.3">
      <c r="AD144" s="36" t="s">
        <v>378</v>
      </c>
      <c r="AE144" s="52">
        <v>1</v>
      </c>
      <c r="AF144" s="71"/>
      <c r="AG144" s="36"/>
      <c r="AH144" s="67"/>
      <c r="AI144" s="36"/>
      <c r="AJ144" s="52">
        <f t="shared" si="5"/>
        <v>0</v>
      </c>
      <c r="AK144" s="34">
        <f t="shared" si="6"/>
        <v>0</v>
      </c>
    </row>
    <row r="145" spans="30:37" x14ac:dyDescent="0.3">
      <c r="AD145" s="36" t="s">
        <v>379</v>
      </c>
      <c r="AE145" s="52">
        <v>19</v>
      </c>
      <c r="AF145" s="71"/>
      <c r="AG145" s="36"/>
      <c r="AH145" s="67"/>
      <c r="AI145" s="36"/>
      <c r="AJ145" s="52">
        <f t="shared" si="5"/>
        <v>0</v>
      </c>
      <c r="AK145" s="34">
        <f t="shared" si="6"/>
        <v>0</v>
      </c>
    </row>
    <row r="146" spans="30:37" x14ac:dyDescent="0.3">
      <c r="AD146" s="36" t="s">
        <v>380</v>
      </c>
      <c r="AE146" s="52">
        <v>15</v>
      </c>
      <c r="AF146" s="71"/>
      <c r="AG146" s="36"/>
      <c r="AH146" s="67"/>
      <c r="AI146" s="36"/>
      <c r="AJ146" s="52">
        <f t="shared" si="5"/>
        <v>0</v>
      </c>
      <c r="AK146" s="34">
        <f t="shared" si="6"/>
        <v>0</v>
      </c>
    </row>
    <row r="147" spans="30:37" x14ac:dyDescent="0.3">
      <c r="AD147" s="36" t="s">
        <v>381</v>
      </c>
      <c r="AE147" s="52">
        <v>15</v>
      </c>
      <c r="AF147" s="71"/>
      <c r="AG147" s="36"/>
      <c r="AH147" s="67"/>
      <c r="AI147" s="36"/>
      <c r="AJ147" s="52">
        <f t="shared" si="5"/>
        <v>0</v>
      </c>
      <c r="AK147" s="34">
        <f t="shared" si="6"/>
        <v>0</v>
      </c>
    </row>
    <row r="148" spans="30:37" x14ac:dyDescent="0.3">
      <c r="AD148" s="36" t="s">
        <v>397</v>
      </c>
      <c r="AE148" s="52">
        <v>10</v>
      </c>
      <c r="AF148" s="71"/>
      <c r="AG148" s="36"/>
      <c r="AH148" s="67"/>
      <c r="AI148" s="36"/>
      <c r="AJ148" s="52">
        <f t="shared" si="5"/>
        <v>0</v>
      </c>
      <c r="AK148" s="34">
        <f t="shared" si="6"/>
        <v>0</v>
      </c>
    </row>
    <row r="149" spans="30:37" x14ac:dyDescent="0.3">
      <c r="AD149" s="35" t="s">
        <v>386</v>
      </c>
      <c r="AE149" s="52">
        <v>10</v>
      </c>
      <c r="AF149" s="71"/>
      <c r="AG149" s="36"/>
      <c r="AH149" s="67"/>
      <c r="AI149" s="36"/>
      <c r="AJ149" s="52">
        <f t="shared" si="5"/>
        <v>0</v>
      </c>
      <c r="AK149" s="34">
        <f t="shared" si="6"/>
        <v>0</v>
      </c>
    </row>
    <row r="150" spans="30:37" x14ac:dyDescent="0.3">
      <c r="AD150" s="35" t="s">
        <v>387</v>
      </c>
      <c r="AE150" s="52">
        <v>10</v>
      </c>
      <c r="AF150" s="71"/>
      <c r="AG150" s="36"/>
      <c r="AH150" s="67"/>
      <c r="AI150" s="36"/>
      <c r="AJ150" s="52">
        <f t="shared" si="5"/>
        <v>0</v>
      </c>
      <c r="AK150" s="34">
        <f t="shared" si="6"/>
        <v>0</v>
      </c>
    </row>
    <row r="151" spans="30:37" x14ac:dyDescent="0.3">
      <c r="AD151" s="54" t="s">
        <v>256</v>
      </c>
      <c r="AE151" s="55">
        <v>90</v>
      </c>
      <c r="AF151" s="73"/>
      <c r="AG151" s="36"/>
      <c r="AH151" s="67"/>
      <c r="AI151" s="36"/>
      <c r="AJ151" s="52">
        <f t="shared" si="5"/>
        <v>0</v>
      </c>
      <c r="AK151" s="34">
        <f t="shared" si="6"/>
        <v>0</v>
      </c>
    </row>
    <row r="152" spans="30:37" x14ac:dyDescent="0.3">
      <c r="AD152" s="54" t="s">
        <v>257</v>
      </c>
      <c r="AE152" s="55">
        <v>130</v>
      </c>
      <c r="AF152" s="73"/>
      <c r="AG152" s="36"/>
      <c r="AH152" s="67"/>
      <c r="AI152" s="36"/>
      <c r="AJ152" s="52">
        <f t="shared" si="5"/>
        <v>0</v>
      </c>
      <c r="AK152" s="34">
        <f t="shared" si="6"/>
        <v>0</v>
      </c>
    </row>
    <row r="153" spans="30:37" x14ac:dyDescent="0.3">
      <c r="AD153" s="33" t="s">
        <v>258</v>
      </c>
      <c r="AE153" s="34">
        <v>148</v>
      </c>
      <c r="AF153" s="71"/>
      <c r="AG153" s="36"/>
      <c r="AH153" s="67"/>
      <c r="AI153" s="36"/>
      <c r="AJ153" s="52">
        <f t="shared" si="5"/>
        <v>0</v>
      </c>
      <c r="AK153" s="34">
        <f t="shared" si="6"/>
        <v>0</v>
      </c>
    </row>
    <row r="154" spans="30:37" x14ac:dyDescent="0.3">
      <c r="AD154" s="36" t="s">
        <v>378</v>
      </c>
      <c r="AE154" s="52">
        <v>1</v>
      </c>
      <c r="AF154" s="71"/>
      <c r="AG154" s="36"/>
      <c r="AH154" s="67"/>
      <c r="AI154" s="36"/>
      <c r="AJ154" s="52">
        <f t="shared" si="5"/>
        <v>0</v>
      </c>
      <c r="AK154" s="34">
        <f t="shared" si="6"/>
        <v>0</v>
      </c>
    </row>
    <row r="155" spans="30:37" x14ac:dyDescent="0.3">
      <c r="AD155" s="36" t="s">
        <v>394</v>
      </c>
      <c r="AE155" s="52">
        <v>30</v>
      </c>
      <c r="AF155" s="71"/>
      <c r="AG155" s="36"/>
      <c r="AH155" s="67"/>
      <c r="AI155" s="36"/>
      <c r="AJ155" s="52">
        <f t="shared" si="5"/>
        <v>0</v>
      </c>
      <c r="AK155" s="34">
        <f t="shared" si="6"/>
        <v>0</v>
      </c>
    </row>
    <row r="156" spans="30:37" x14ac:dyDescent="0.3">
      <c r="AD156" s="36" t="s">
        <v>380</v>
      </c>
      <c r="AE156" s="52">
        <v>30</v>
      </c>
      <c r="AF156" s="71"/>
      <c r="AG156" s="36"/>
      <c r="AH156" s="67"/>
      <c r="AI156" s="36"/>
      <c r="AJ156" s="52">
        <f t="shared" si="5"/>
        <v>0</v>
      </c>
      <c r="AK156" s="34">
        <f t="shared" si="6"/>
        <v>0</v>
      </c>
    </row>
    <row r="157" spans="30:37" x14ac:dyDescent="0.3">
      <c r="AD157" s="36" t="s">
        <v>381</v>
      </c>
      <c r="AE157" s="52">
        <v>15</v>
      </c>
      <c r="AF157" s="71"/>
      <c r="AG157" s="36"/>
      <c r="AH157" s="67"/>
      <c r="AI157" s="36"/>
      <c r="AJ157" s="52">
        <f t="shared" si="5"/>
        <v>0</v>
      </c>
      <c r="AK157" s="34">
        <f t="shared" si="6"/>
        <v>0</v>
      </c>
    </row>
    <row r="158" spans="30:37" x14ac:dyDescent="0.3">
      <c r="AD158" s="36" t="s">
        <v>397</v>
      </c>
      <c r="AE158" s="52">
        <v>10</v>
      </c>
      <c r="AF158" s="71"/>
      <c r="AG158" s="36"/>
      <c r="AH158" s="67"/>
      <c r="AI158" s="36"/>
      <c r="AJ158" s="52">
        <f t="shared" si="5"/>
        <v>0</v>
      </c>
      <c r="AK158" s="34">
        <f t="shared" si="6"/>
        <v>0</v>
      </c>
    </row>
    <row r="159" spans="30:37" x14ac:dyDescent="0.3">
      <c r="AD159" s="35" t="s">
        <v>386</v>
      </c>
      <c r="AE159" s="52">
        <v>15</v>
      </c>
      <c r="AF159" s="71"/>
      <c r="AG159" s="36"/>
      <c r="AH159" s="67"/>
      <c r="AI159" s="36"/>
      <c r="AJ159" s="52">
        <f t="shared" si="5"/>
        <v>0</v>
      </c>
      <c r="AK159" s="34">
        <f t="shared" si="6"/>
        <v>0</v>
      </c>
    </row>
    <row r="160" spans="30:37" x14ac:dyDescent="0.3">
      <c r="AD160" s="35" t="s">
        <v>396</v>
      </c>
      <c r="AE160" s="52">
        <v>30</v>
      </c>
      <c r="AF160" s="71"/>
      <c r="AG160" s="36"/>
      <c r="AH160" s="67"/>
      <c r="AI160" s="36"/>
      <c r="AJ160" s="52">
        <f t="shared" si="5"/>
        <v>0</v>
      </c>
      <c r="AK160" s="34">
        <f t="shared" si="6"/>
        <v>0</v>
      </c>
    </row>
    <row r="161" spans="30:37" x14ac:dyDescent="0.3">
      <c r="AD161" s="35" t="s">
        <v>387</v>
      </c>
      <c r="AE161" s="52">
        <v>17</v>
      </c>
      <c r="AF161" s="71"/>
      <c r="AG161" s="36"/>
      <c r="AH161" s="67"/>
      <c r="AI161" s="36"/>
      <c r="AJ161" s="52">
        <f t="shared" si="5"/>
        <v>0</v>
      </c>
      <c r="AK161" s="34">
        <f t="shared" si="6"/>
        <v>0</v>
      </c>
    </row>
    <row r="162" spans="30:37" x14ac:dyDescent="0.3">
      <c r="AD162" s="33" t="s">
        <v>259</v>
      </c>
      <c r="AE162" s="34">
        <v>120</v>
      </c>
      <c r="AF162" s="71"/>
      <c r="AG162" s="36"/>
      <c r="AH162" s="67"/>
      <c r="AI162" s="36"/>
      <c r="AJ162" s="52">
        <f t="shared" si="5"/>
        <v>0</v>
      </c>
      <c r="AK162" s="34">
        <f t="shared" si="6"/>
        <v>0</v>
      </c>
    </row>
    <row r="163" spans="30:37" x14ac:dyDescent="0.3">
      <c r="AD163" s="33" t="s">
        <v>260</v>
      </c>
      <c r="AE163" s="34">
        <v>80</v>
      </c>
      <c r="AF163" s="71"/>
      <c r="AG163" s="36"/>
      <c r="AH163" s="67"/>
      <c r="AI163" s="36"/>
      <c r="AJ163" s="52">
        <f t="shared" si="5"/>
        <v>0</v>
      </c>
      <c r="AK163" s="34">
        <f t="shared" si="6"/>
        <v>0</v>
      </c>
    </row>
    <row r="164" spans="30:37" x14ac:dyDescent="0.3">
      <c r="AD164" s="36" t="s">
        <v>378</v>
      </c>
      <c r="AE164" s="52">
        <v>1</v>
      </c>
      <c r="AF164" s="71"/>
      <c r="AG164" s="36"/>
      <c r="AH164" s="67"/>
      <c r="AI164" s="36"/>
      <c r="AJ164" s="52">
        <f t="shared" si="5"/>
        <v>0</v>
      </c>
      <c r="AK164" s="34">
        <f t="shared" si="6"/>
        <v>0</v>
      </c>
    </row>
    <row r="165" spans="30:37" x14ac:dyDescent="0.3">
      <c r="AD165" s="36" t="s">
        <v>379</v>
      </c>
      <c r="AE165" s="52">
        <v>12</v>
      </c>
      <c r="AF165" s="71"/>
      <c r="AG165" s="36"/>
      <c r="AH165" s="67"/>
      <c r="AI165" s="36"/>
      <c r="AJ165" s="52">
        <f t="shared" si="5"/>
        <v>0</v>
      </c>
      <c r="AK165" s="34">
        <f t="shared" si="6"/>
        <v>0</v>
      </c>
    </row>
    <row r="166" spans="30:37" x14ac:dyDescent="0.3">
      <c r="AD166" s="36" t="s">
        <v>380</v>
      </c>
      <c r="AE166" s="52">
        <v>35</v>
      </c>
      <c r="AF166" s="71"/>
      <c r="AG166" s="36"/>
      <c r="AH166" s="67"/>
      <c r="AI166" s="36"/>
      <c r="AJ166" s="52">
        <f t="shared" si="5"/>
        <v>0</v>
      </c>
      <c r="AK166" s="34">
        <f t="shared" si="6"/>
        <v>0</v>
      </c>
    </row>
    <row r="167" spans="30:37" x14ac:dyDescent="0.3">
      <c r="AD167" s="36" t="s">
        <v>381</v>
      </c>
      <c r="AE167" s="52">
        <v>32</v>
      </c>
      <c r="AF167" s="71"/>
      <c r="AG167" s="36"/>
      <c r="AH167" s="67"/>
      <c r="AI167" s="36"/>
      <c r="AJ167" s="52">
        <f t="shared" si="5"/>
        <v>0</v>
      </c>
      <c r="AK167" s="34">
        <f t="shared" si="6"/>
        <v>0</v>
      </c>
    </row>
    <row r="168" spans="30:37" x14ac:dyDescent="0.3">
      <c r="AD168" s="33" t="s">
        <v>261</v>
      </c>
      <c r="AE168" s="34">
        <v>86</v>
      </c>
      <c r="AF168" s="71"/>
      <c r="AG168" s="36"/>
      <c r="AH168" s="67"/>
      <c r="AI168" s="36"/>
      <c r="AJ168" s="52">
        <f t="shared" si="5"/>
        <v>0</v>
      </c>
      <c r="AK168" s="34">
        <f t="shared" si="6"/>
        <v>0</v>
      </c>
    </row>
    <row r="169" spans="30:37" x14ac:dyDescent="0.3">
      <c r="AD169" s="36" t="s">
        <v>378</v>
      </c>
      <c r="AE169" s="52">
        <v>1</v>
      </c>
      <c r="AF169" s="71"/>
      <c r="AG169" s="36"/>
      <c r="AH169" s="67"/>
      <c r="AI169" s="36"/>
      <c r="AJ169" s="52">
        <f t="shared" si="5"/>
        <v>0</v>
      </c>
      <c r="AK169" s="34">
        <f t="shared" si="6"/>
        <v>0</v>
      </c>
    </row>
    <row r="170" spans="30:37" x14ac:dyDescent="0.3">
      <c r="AD170" s="36" t="s">
        <v>379</v>
      </c>
      <c r="AE170" s="52">
        <v>12</v>
      </c>
      <c r="AF170" s="71"/>
      <c r="AG170" s="36"/>
      <c r="AH170" s="67"/>
      <c r="AI170" s="36"/>
      <c r="AJ170" s="52">
        <f t="shared" si="5"/>
        <v>0</v>
      </c>
      <c r="AK170" s="34">
        <f t="shared" si="6"/>
        <v>0</v>
      </c>
    </row>
    <row r="171" spans="30:37" x14ac:dyDescent="0.3">
      <c r="AD171" s="36" t="s">
        <v>380</v>
      </c>
      <c r="AE171" s="52">
        <v>35</v>
      </c>
      <c r="AF171" s="71"/>
      <c r="AG171" s="36"/>
      <c r="AH171" s="67"/>
      <c r="AI171" s="36"/>
      <c r="AJ171" s="52">
        <f t="shared" si="5"/>
        <v>0</v>
      </c>
      <c r="AK171" s="34">
        <f t="shared" si="6"/>
        <v>0</v>
      </c>
    </row>
    <row r="172" spans="30:37" x14ac:dyDescent="0.3">
      <c r="AD172" s="36" t="s">
        <v>381</v>
      </c>
      <c r="AE172" s="52">
        <v>32</v>
      </c>
      <c r="AF172" s="71"/>
      <c r="AG172" s="36"/>
      <c r="AH172" s="67"/>
      <c r="AI172" s="36"/>
      <c r="AJ172" s="52">
        <f t="shared" si="5"/>
        <v>0</v>
      </c>
      <c r="AK172" s="34">
        <f t="shared" si="6"/>
        <v>0</v>
      </c>
    </row>
    <row r="173" spans="30:37" x14ac:dyDescent="0.3">
      <c r="AD173" s="35" t="s">
        <v>398</v>
      </c>
      <c r="AE173" s="52">
        <v>40</v>
      </c>
      <c r="AF173" s="71"/>
      <c r="AG173" s="36"/>
      <c r="AH173" s="67"/>
      <c r="AI173" s="36"/>
      <c r="AJ173" s="52">
        <f t="shared" si="5"/>
        <v>0</v>
      </c>
      <c r="AK173" s="34">
        <f t="shared" si="6"/>
        <v>0</v>
      </c>
    </row>
    <row r="174" spans="30:37" x14ac:dyDescent="0.3">
      <c r="AD174" s="33" t="s">
        <v>262</v>
      </c>
      <c r="AE174" s="34">
        <v>112</v>
      </c>
      <c r="AF174" s="71"/>
      <c r="AG174" s="36"/>
      <c r="AH174" s="67"/>
      <c r="AI174" s="36"/>
      <c r="AJ174" s="52">
        <f t="shared" si="5"/>
        <v>0</v>
      </c>
      <c r="AK174" s="34">
        <f t="shared" si="6"/>
        <v>0</v>
      </c>
    </row>
    <row r="175" spans="30:37" x14ac:dyDescent="0.3">
      <c r="AD175" s="36" t="s">
        <v>378</v>
      </c>
      <c r="AE175" s="52">
        <v>1</v>
      </c>
      <c r="AF175" s="71"/>
      <c r="AG175" s="36"/>
      <c r="AH175" s="67"/>
      <c r="AI175" s="36"/>
      <c r="AJ175" s="52">
        <f t="shared" si="5"/>
        <v>0</v>
      </c>
      <c r="AK175" s="34">
        <f t="shared" si="6"/>
        <v>0</v>
      </c>
    </row>
    <row r="176" spans="30:37" x14ac:dyDescent="0.3">
      <c r="AD176" s="36" t="s">
        <v>379</v>
      </c>
      <c r="AE176" s="52">
        <v>12</v>
      </c>
      <c r="AF176" s="71"/>
      <c r="AG176" s="36"/>
      <c r="AH176" s="67"/>
      <c r="AI176" s="36"/>
      <c r="AJ176" s="52">
        <f t="shared" si="5"/>
        <v>0</v>
      </c>
      <c r="AK176" s="34">
        <f t="shared" si="6"/>
        <v>0</v>
      </c>
    </row>
    <row r="177" spans="30:37" x14ac:dyDescent="0.3">
      <c r="AD177" s="36" t="s">
        <v>380</v>
      </c>
      <c r="AE177" s="52">
        <v>35</v>
      </c>
      <c r="AF177" s="71"/>
      <c r="AG177" s="36"/>
      <c r="AH177" s="67"/>
      <c r="AI177" s="36"/>
      <c r="AJ177" s="52">
        <f t="shared" si="5"/>
        <v>0</v>
      </c>
      <c r="AK177" s="34">
        <f t="shared" si="6"/>
        <v>0</v>
      </c>
    </row>
    <row r="178" spans="30:37" x14ac:dyDescent="0.3">
      <c r="AD178" s="36" t="s">
        <v>381</v>
      </c>
      <c r="AE178" s="52">
        <v>32</v>
      </c>
      <c r="AF178" s="71"/>
      <c r="AG178" s="36"/>
      <c r="AH178" s="67"/>
      <c r="AI178" s="36"/>
      <c r="AJ178" s="52">
        <f t="shared" si="5"/>
        <v>0</v>
      </c>
      <c r="AK178" s="34">
        <f t="shared" si="6"/>
        <v>0</v>
      </c>
    </row>
    <row r="179" spans="30:37" x14ac:dyDescent="0.3">
      <c r="AD179" s="35" t="s">
        <v>399</v>
      </c>
      <c r="AE179" s="52">
        <v>50</v>
      </c>
      <c r="AF179" s="71"/>
      <c r="AG179" s="36"/>
      <c r="AH179" s="67"/>
      <c r="AI179" s="36"/>
      <c r="AJ179" s="52">
        <f t="shared" si="5"/>
        <v>0</v>
      </c>
      <c r="AK179" s="34">
        <f t="shared" si="6"/>
        <v>0</v>
      </c>
    </row>
    <row r="180" spans="30:37" x14ac:dyDescent="0.3">
      <c r="AD180" s="33" t="s">
        <v>263</v>
      </c>
      <c r="AE180" s="34">
        <v>150</v>
      </c>
      <c r="AF180" s="71"/>
      <c r="AG180" s="36"/>
      <c r="AH180" s="67"/>
      <c r="AI180" s="36"/>
      <c r="AJ180" s="52">
        <f t="shared" si="5"/>
        <v>0</v>
      </c>
      <c r="AK180" s="34">
        <f t="shared" si="6"/>
        <v>0</v>
      </c>
    </row>
    <row r="181" spans="30:37" x14ac:dyDescent="0.3">
      <c r="AD181" s="33" t="s">
        <v>264</v>
      </c>
      <c r="AE181" s="34">
        <v>110</v>
      </c>
      <c r="AF181" s="71"/>
      <c r="AG181" s="36"/>
      <c r="AH181" s="67"/>
      <c r="AI181" s="36"/>
      <c r="AJ181" s="52">
        <f t="shared" si="5"/>
        <v>0</v>
      </c>
      <c r="AK181" s="34">
        <f t="shared" si="6"/>
        <v>0</v>
      </c>
    </row>
    <row r="182" spans="30:37" x14ac:dyDescent="0.3">
      <c r="AD182" s="33" t="s">
        <v>265</v>
      </c>
      <c r="AE182" s="34">
        <v>40</v>
      </c>
      <c r="AF182" s="71"/>
      <c r="AG182" s="36"/>
      <c r="AH182" s="67"/>
      <c r="AI182" s="36"/>
      <c r="AJ182" s="52">
        <f t="shared" si="5"/>
        <v>0</v>
      </c>
      <c r="AK182" s="34">
        <f t="shared" si="6"/>
        <v>0</v>
      </c>
    </row>
    <row r="183" spans="30:37" x14ac:dyDescent="0.3">
      <c r="AD183" s="33" t="s">
        <v>482</v>
      </c>
      <c r="AE183" s="34">
        <v>89</v>
      </c>
      <c r="AF183" s="71"/>
      <c r="AG183" s="36"/>
      <c r="AH183" s="67"/>
      <c r="AI183" s="36"/>
      <c r="AJ183" s="52">
        <f t="shared" si="5"/>
        <v>0</v>
      </c>
      <c r="AK183" s="34">
        <f t="shared" si="6"/>
        <v>0</v>
      </c>
    </row>
    <row r="184" spans="30:37" x14ac:dyDescent="0.3">
      <c r="AD184" s="33" t="s">
        <v>483</v>
      </c>
      <c r="AE184" s="34">
        <v>123</v>
      </c>
      <c r="AF184" s="71"/>
      <c r="AG184" s="36"/>
      <c r="AH184" s="67"/>
      <c r="AI184" s="36"/>
      <c r="AJ184" s="52">
        <f t="shared" si="5"/>
        <v>0</v>
      </c>
      <c r="AK184" s="34">
        <f t="shared" si="6"/>
        <v>0</v>
      </c>
    </row>
    <row r="185" spans="30:37" x14ac:dyDescent="0.3">
      <c r="AD185" s="41"/>
      <c r="AE185" s="34"/>
      <c r="AF185" s="71"/>
      <c r="AG185" s="36"/>
      <c r="AH185" s="67"/>
      <c r="AI185" s="36"/>
      <c r="AJ185" s="52">
        <f t="shared" si="5"/>
        <v>0</v>
      </c>
      <c r="AK185" s="34">
        <f t="shared" si="6"/>
        <v>0</v>
      </c>
    </row>
    <row r="186" spans="30:37" x14ac:dyDescent="0.3">
      <c r="AD186" s="33" t="s">
        <v>266</v>
      </c>
      <c r="AE186" s="34">
        <v>350</v>
      </c>
      <c r="AF186" s="71"/>
      <c r="AG186" s="36"/>
      <c r="AH186" s="67"/>
      <c r="AI186" s="36"/>
      <c r="AJ186" s="52">
        <f t="shared" si="5"/>
        <v>0</v>
      </c>
      <c r="AK186" s="34">
        <f t="shared" si="6"/>
        <v>0</v>
      </c>
    </row>
    <row r="187" spans="30:37" x14ac:dyDescent="0.3">
      <c r="AD187" s="35" t="s">
        <v>400</v>
      </c>
      <c r="AE187" s="52">
        <v>70</v>
      </c>
      <c r="AF187" s="71"/>
      <c r="AG187" s="36"/>
      <c r="AH187" s="67"/>
      <c r="AI187" s="36"/>
      <c r="AJ187" s="52">
        <f t="shared" si="5"/>
        <v>0</v>
      </c>
      <c r="AK187" s="34">
        <f t="shared" si="6"/>
        <v>0</v>
      </c>
    </row>
    <row r="188" spans="30:37" x14ac:dyDescent="0.3">
      <c r="AD188" s="35" t="s">
        <v>401</v>
      </c>
      <c r="AE188" s="52">
        <v>60</v>
      </c>
      <c r="AF188" s="71"/>
      <c r="AG188" s="36"/>
      <c r="AH188" s="67"/>
      <c r="AI188" s="36"/>
      <c r="AJ188" s="52">
        <f t="shared" si="5"/>
        <v>0</v>
      </c>
      <c r="AK188" s="34">
        <f t="shared" si="6"/>
        <v>0</v>
      </c>
    </row>
    <row r="189" spans="30:37" x14ac:dyDescent="0.3">
      <c r="AD189" s="35" t="s">
        <v>402</v>
      </c>
      <c r="AE189" s="52">
        <v>50</v>
      </c>
      <c r="AF189" s="71"/>
      <c r="AG189" s="36"/>
      <c r="AH189" s="67"/>
      <c r="AI189" s="36"/>
      <c r="AJ189" s="52">
        <f t="shared" si="5"/>
        <v>0</v>
      </c>
      <c r="AK189" s="34">
        <f t="shared" si="6"/>
        <v>0</v>
      </c>
    </row>
    <row r="190" spans="30:37" x14ac:dyDescent="0.3">
      <c r="AD190" s="35" t="s">
        <v>403</v>
      </c>
      <c r="AE190" s="52">
        <v>15</v>
      </c>
      <c r="AF190" s="71"/>
      <c r="AG190" s="36"/>
      <c r="AH190" s="67"/>
      <c r="AI190" s="36"/>
      <c r="AJ190" s="52">
        <f t="shared" si="5"/>
        <v>0</v>
      </c>
      <c r="AK190" s="34">
        <f t="shared" si="6"/>
        <v>0</v>
      </c>
    </row>
    <row r="191" spans="30:37" x14ac:dyDescent="0.3">
      <c r="AD191" s="35" t="s">
        <v>404</v>
      </c>
      <c r="AE191" s="52">
        <v>5</v>
      </c>
      <c r="AF191" s="71"/>
      <c r="AG191" s="36"/>
      <c r="AH191" s="67"/>
      <c r="AI191" s="36"/>
      <c r="AJ191" s="52">
        <f t="shared" si="5"/>
        <v>0</v>
      </c>
      <c r="AK191" s="34">
        <f t="shared" si="6"/>
        <v>0</v>
      </c>
    </row>
    <row r="192" spans="30:37" x14ac:dyDescent="0.3">
      <c r="AD192" s="35" t="s">
        <v>405</v>
      </c>
      <c r="AE192" s="52">
        <v>15</v>
      </c>
      <c r="AF192" s="71"/>
      <c r="AG192" s="36"/>
      <c r="AH192" s="67"/>
      <c r="AI192" s="36"/>
      <c r="AJ192" s="52">
        <f t="shared" si="5"/>
        <v>0</v>
      </c>
      <c r="AK192" s="34">
        <f t="shared" si="6"/>
        <v>0</v>
      </c>
    </row>
    <row r="193" spans="30:37" x14ac:dyDescent="0.3">
      <c r="AD193" s="35" t="s">
        <v>406</v>
      </c>
      <c r="AE193" s="52">
        <v>10</v>
      </c>
      <c r="AF193" s="71"/>
      <c r="AG193" s="36"/>
      <c r="AH193" s="67"/>
      <c r="AI193" s="36"/>
      <c r="AJ193" s="52">
        <f t="shared" si="5"/>
        <v>0</v>
      </c>
      <c r="AK193" s="34">
        <f t="shared" si="6"/>
        <v>0</v>
      </c>
    </row>
    <row r="194" spans="30:37" x14ac:dyDescent="0.3">
      <c r="AD194" s="35" t="s">
        <v>407</v>
      </c>
      <c r="AE194" s="52">
        <v>10</v>
      </c>
      <c r="AF194" s="71"/>
      <c r="AG194" s="36"/>
      <c r="AH194" s="67"/>
      <c r="AI194" s="36"/>
      <c r="AJ194" s="52">
        <f t="shared" si="5"/>
        <v>0</v>
      </c>
      <c r="AK194" s="34">
        <f t="shared" si="6"/>
        <v>0</v>
      </c>
    </row>
    <row r="195" spans="30:37" x14ac:dyDescent="0.3">
      <c r="AD195" s="35" t="s">
        <v>408</v>
      </c>
      <c r="AE195" s="52">
        <v>5</v>
      </c>
      <c r="AF195" s="71"/>
      <c r="AG195" s="36"/>
      <c r="AH195" s="67"/>
      <c r="AI195" s="36"/>
      <c r="AJ195" s="52">
        <f t="shared" si="5"/>
        <v>0</v>
      </c>
      <c r="AK195" s="34">
        <f t="shared" si="6"/>
        <v>0</v>
      </c>
    </row>
    <row r="196" spans="30:37" x14ac:dyDescent="0.3">
      <c r="AD196" s="35" t="s">
        <v>409</v>
      </c>
      <c r="AE196" s="52">
        <v>10</v>
      </c>
      <c r="AF196" s="71"/>
      <c r="AG196" s="36"/>
      <c r="AH196" s="67"/>
      <c r="AI196" s="36"/>
      <c r="AJ196" s="52">
        <f t="shared" si="5"/>
        <v>0</v>
      </c>
      <c r="AK196" s="34">
        <f t="shared" si="6"/>
        <v>0</v>
      </c>
    </row>
    <row r="197" spans="30:37" x14ac:dyDescent="0.3">
      <c r="AD197" s="35" t="s">
        <v>392</v>
      </c>
      <c r="AE197" s="52">
        <v>80</v>
      </c>
      <c r="AF197" s="71"/>
      <c r="AG197" s="36"/>
      <c r="AH197" s="67"/>
      <c r="AI197" s="36"/>
      <c r="AJ197" s="52">
        <f t="shared" si="5"/>
        <v>0</v>
      </c>
      <c r="AK197" s="34">
        <f t="shared" si="6"/>
        <v>0</v>
      </c>
    </row>
    <row r="198" spans="30:37" x14ac:dyDescent="0.3">
      <c r="AD198" s="35" t="s">
        <v>399</v>
      </c>
      <c r="AE198" s="52">
        <v>20</v>
      </c>
      <c r="AF198" s="71"/>
      <c r="AG198" s="36"/>
      <c r="AH198" s="67"/>
      <c r="AI198" s="36"/>
      <c r="AJ198" s="52">
        <f t="shared" si="5"/>
        <v>0</v>
      </c>
      <c r="AK198" s="34">
        <f t="shared" si="6"/>
        <v>0</v>
      </c>
    </row>
    <row r="199" spans="30:37" x14ac:dyDescent="0.3">
      <c r="AD199" s="33" t="s">
        <v>267</v>
      </c>
      <c r="AE199" s="34">
        <v>149</v>
      </c>
      <c r="AF199" s="71"/>
      <c r="AG199" s="36"/>
      <c r="AH199" s="67"/>
      <c r="AI199" s="36"/>
      <c r="AJ199" s="52">
        <f t="shared" si="5"/>
        <v>0</v>
      </c>
      <c r="AK199" s="34">
        <f t="shared" si="6"/>
        <v>0</v>
      </c>
    </row>
    <row r="200" spans="30:37" x14ac:dyDescent="0.3">
      <c r="AD200" s="33" t="s">
        <v>268</v>
      </c>
      <c r="AE200" s="34">
        <v>149</v>
      </c>
      <c r="AF200" s="71"/>
      <c r="AG200" s="36"/>
      <c r="AH200" s="67"/>
      <c r="AI200" s="36"/>
      <c r="AJ200" s="52">
        <f t="shared" si="5"/>
        <v>0</v>
      </c>
      <c r="AK200" s="34">
        <f t="shared" si="6"/>
        <v>0</v>
      </c>
    </row>
    <row r="201" spans="30:37" x14ac:dyDescent="0.3">
      <c r="AD201" s="33" t="s">
        <v>269</v>
      </c>
      <c r="AE201" s="34">
        <v>190</v>
      </c>
      <c r="AF201" s="71"/>
      <c r="AG201" s="36"/>
      <c r="AH201" s="67"/>
      <c r="AI201" s="36"/>
      <c r="AJ201" s="52">
        <f t="shared" si="5"/>
        <v>0</v>
      </c>
      <c r="AK201" s="34">
        <f t="shared" si="6"/>
        <v>0</v>
      </c>
    </row>
    <row r="202" spans="30:37" x14ac:dyDescent="0.3">
      <c r="AD202" s="33" t="s">
        <v>270</v>
      </c>
      <c r="AE202" s="34">
        <v>250</v>
      </c>
      <c r="AF202" s="71"/>
      <c r="AG202" s="36"/>
      <c r="AH202" s="67"/>
      <c r="AI202" s="36"/>
      <c r="AJ202" s="52">
        <f t="shared" ref="AJ202:AJ265" si="7">SUM(AG202*AE202)</f>
        <v>0</v>
      </c>
      <c r="AK202" s="34">
        <f t="shared" si="6"/>
        <v>0</v>
      </c>
    </row>
    <row r="203" spans="30:37" x14ac:dyDescent="0.3">
      <c r="AD203" s="33" t="s">
        <v>271</v>
      </c>
      <c r="AE203" s="34">
        <v>110</v>
      </c>
      <c r="AF203" s="71"/>
      <c r="AG203" s="36"/>
      <c r="AH203" s="67"/>
      <c r="AI203" s="36"/>
      <c r="AJ203" s="52">
        <f t="shared" si="7"/>
        <v>0</v>
      </c>
      <c r="AK203" s="34">
        <f t="shared" ref="AK203:AK266" si="8">SUM(AE203*AF203)</f>
        <v>0</v>
      </c>
    </row>
    <row r="204" spans="30:37" x14ac:dyDescent="0.3">
      <c r="AD204" s="33" t="s">
        <v>272</v>
      </c>
      <c r="AE204" s="34">
        <v>25</v>
      </c>
      <c r="AF204" s="71"/>
      <c r="AG204" s="36"/>
      <c r="AH204" s="67"/>
      <c r="AI204" s="36"/>
      <c r="AJ204" s="52">
        <f t="shared" si="7"/>
        <v>0</v>
      </c>
      <c r="AK204" s="34">
        <f t="shared" si="8"/>
        <v>0</v>
      </c>
    </row>
    <row r="205" spans="30:37" x14ac:dyDescent="0.3">
      <c r="AD205" s="33" t="s">
        <v>273</v>
      </c>
      <c r="AE205" s="34">
        <v>115</v>
      </c>
      <c r="AF205" s="71"/>
      <c r="AG205" s="36"/>
      <c r="AH205" s="67"/>
      <c r="AI205" s="36"/>
      <c r="AJ205" s="52">
        <f t="shared" si="7"/>
        <v>0</v>
      </c>
      <c r="AK205" s="34">
        <f t="shared" si="8"/>
        <v>0</v>
      </c>
    </row>
    <row r="206" spans="30:37" x14ac:dyDescent="0.3">
      <c r="AD206" s="33" t="s">
        <v>274</v>
      </c>
      <c r="AE206" s="34">
        <v>5</v>
      </c>
      <c r="AF206" s="71"/>
      <c r="AG206" s="36"/>
      <c r="AH206" s="67"/>
      <c r="AI206" s="36"/>
      <c r="AJ206" s="52">
        <f t="shared" si="7"/>
        <v>0</v>
      </c>
      <c r="AK206" s="34">
        <f t="shared" si="8"/>
        <v>0</v>
      </c>
    </row>
    <row r="207" spans="30:37" x14ac:dyDescent="0.3">
      <c r="AD207" s="33" t="s">
        <v>275</v>
      </c>
      <c r="AE207" s="34">
        <v>215</v>
      </c>
      <c r="AF207" s="71"/>
      <c r="AG207" s="36"/>
      <c r="AH207" s="67"/>
      <c r="AI207" s="36"/>
      <c r="AJ207" s="52">
        <f t="shared" si="7"/>
        <v>0</v>
      </c>
      <c r="AK207" s="34">
        <f t="shared" si="8"/>
        <v>0</v>
      </c>
    </row>
    <row r="208" spans="30:37" x14ac:dyDescent="0.3">
      <c r="AD208" s="33" t="s">
        <v>276</v>
      </c>
      <c r="AE208" s="34">
        <v>249</v>
      </c>
      <c r="AF208" s="71"/>
      <c r="AG208" s="36"/>
      <c r="AH208" s="67"/>
      <c r="AI208" s="36"/>
      <c r="AJ208" s="52">
        <f t="shared" si="7"/>
        <v>0</v>
      </c>
      <c r="AK208" s="34">
        <f t="shared" si="8"/>
        <v>0</v>
      </c>
    </row>
    <row r="209" spans="30:37" x14ac:dyDescent="0.3">
      <c r="AD209" s="33" t="s">
        <v>277</v>
      </c>
      <c r="AE209" s="34">
        <v>23</v>
      </c>
      <c r="AF209" s="71"/>
      <c r="AG209" s="36"/>
      <c r="AH209" s="67"/>
      <c r="AI209" s="36"/>
      <c r="AJ209" s="52">
        <f t="shared" si="7"/>
        <v>0</v>
      </c>
      <c r="AK209" s="34">
        <f t="shared" si="8"/>
        <v>0</v>
      </c>
    </row>
    <row r="210" spans="30:37" x14ac:dyDescent="0.3">
      <c r="AD210" s="33" t="s">
        <v>278</v>
      </c>
      <c r="AE210" s="34">
        <v>150</v>
      </c>
      <c r="AF210" s="71"/>
      <c r="AG210" s="36"/>
      <c r="AH210" s="67"/>
      <c r="AI210" s="36"/>
      <c r="AJ210" s="52">
        <f t="shared" si="7"/>
        <v>0</v>
      </c>
      <c r="AK210" s="34">
        <f t="shared" si="8"/>
        <v>0</v>
      </c>
    </row>
    <row r="211" spans="30:37" x14ac:dyDescent="0.3">
      <c r="AD211" s="33" t="s">
        <v>279</v>
      </c>
      <c r="AE211" s="34">
        <v>105</v>
      </c>
      <c r="AF211" s="71"/>
      <c r="AG211" s="36"/>
      <c r="AH211" s="67"/>
      <c r="AI211" s="36"/>
      <c r="AJ211" s="52">
        <f t="shared" si="7"/>
        <v>0</v>
      </c>
      <c r="AK211" s="34">
        <f t="shared" si="8"/>
        <v>0</v>
      </c>
    </row>
    <row r="212" spans="30:37" x14ac:dyDescent="0.3">
      <c r="AD212" s="33" t="s">
        <v>280</v>
      </c>
      <c r="AE212" s="34">
        <v>80</v>
      </c>
      <c r="AF212" s="71"/>
      <c r="AG212" s="36"/>
      <c r="AH212" s="67"/>
      <c r="AI212" s="36"/>
      <c r="AJ212" s="52">
        <f t="shared" si="7"/>
        <v>0</v>
      </c>
      <c r="AK212" s="34">
        <f t="shared" si="8"/>
        <v>0</v>
      </c>
    </row>
    <row r="213" spans="30:37" x14ac:dyDescent="0.3">
      <c r="AD213" s="33" t="s">
        <v>281</v>
      </c>
      <c r="AE213" s="34">
        <v>120</v>
      </c>
      <c r="AF213" s="71"/>
      <c r="AG213" s="36"/>
      <c r="AH213" s="67"/>
      <c r="AI213" s="36"/>
      <c r="AJ213" s="52">
        <f t="shared" si="7"/>
        <v>0</v>
      </c>
      <c r="AK213" s="34">
        <f t="shared" si="8"/>
        <v>0</v>
      </c>
    </row>
    <row r="214" spans="30:37" x14ac:dyDescent="0.3">
      <c r="AD214" s="41"/>
      <c r="AE214" s="34"/>
      <c r="AF214" s="71"/>
      <c r="AG214" s="36"/>
      <c r="AH214" s="67"/>
      <c r="AI214" s="36"/>
      <c r="AJ214" s="52">
        <f t="shared" si="7"/>
        <v>0</v>
      </c>
      <c r="AK214" s="34">
        <f t="shared" si="8"/>
        <v>0</v>
      </c>
    </row>
    <row r="215" spans="30:37" x14ac:dyDescent="0.3">
      <c r="AD215" s="33" t="s">
        <v>282</v>
      </c>
      <c r="AE215" s="34">
        <v>40</v>
      </c>
      <c r="AF215" s="71"/>
      <c r="AG215" s="36"/>
      <c r="AH215" s="67"/>
      <c r="AI215" s="36"/>
      <c r="AJ215" s="52">
        <f t="shared" si="7"/>
        <v>0</v>
      </c>
      <c r="AK215" s="34">
        <f t="shared" si="8"/>
        <v>0</v>
      </c>
    </row>
    <row r="216" spans="30:37" x14ac:dyDescent="0.3">
      <c r="AD216" s="33" t="s">
        <v>283</v>
      </c>
      <c r="AE216" s="34">
        <v>13</v>
      </c>
      <c r="AF216" s="71"/>
      <c r="AG216" s="36"/>
      <c r="AH216" s="67"/>
      <c r="AI216" s="36"/>
      <c r="AJ216" s="52">
        <f t="shared" si="7"/>
        <v>0</v>
      </c>
      <c r="AK216" s="34">
        <f t="shared" si="8"/>
        <v>0</v>
      </c>
    </row>
    <row r="217" spans="30:37" x14ac:dyDescent="0.3">
      <c r="AD217" s="33" t="s">
        <v>284</v>
      </c>
      <c r="AE217" s="34">
        <v>25</v>
      </c>
      <c r="AF217" s="71"/>
      <c r="AG217" s="36"/>
      <c r="AH217" s="67"/>
      <c r="AI217" s="36"/>
      <c r="AJ217" s="52">
        <f t="shared" si="7"/>
        <v>0</v>
      </c>
      <c r="AK217" s="34">
        <f t="shared" si="8"/>
        <v>0</v>
      </c>
    </row>
    <row r="218" spans="30:37" x14ac:dyDescent="0.3">
      <c r="AD218" s="33" t="s">
        <v>285</v>
      </c>
      <c r="AE218" s="34">
        <v>60</v>
      </c>
      <c r="AF218" s="71"/>
      <c r="AG218" s="36"/>
      <c r="AH218" s="67"/>
      <c r="AI218" s="36"/>
      <c r="AJ218" s="52">
        <f t="shared" si="7"/>
        <v>0</v>
      </c>
      <c r="AK218" s="34">
        <f t="shared" si="8"/>
        <v>0</v>
      </c>
    </row>
    <row r="219" spans="30:37" x14ac:dyDescent="0.3">
      <c r="AD219" s="35" t="s">
        <v>410</v>
      </c>
      <c r="AE219" s="52">
        <v>90</v>
      </c>
      <c r="AF219" s="71"/>
      <c r="AG219" s="36"/>
      <c r="AH219" s="67"/>
      <c r="AI219" s="36"/>
      <c r="AJ219" s="52">
        <f t="shared" si="7"/>
        <v>0</v>
      </c>
      <c r="AK219" s="34">
        <f t="shared" si="8"/>
        <v>0</v>
      </c>
    </row>
    <row r="220" spans="30:37" x14ac:dyDescent="0.3">
      <c r="AD220" s="33" t="s">
        <v>286</v>
      </c>
      <c r="AE220" s="34">
        <v>29</v>
      </c>
      <c r="AF220" s="71"/>
      <c r="AG220" s="36"/>
      <c r="AH220" s="67"/>
      <c r="AI220" s="36"/>
      <c r="AJ220" s="52">
        <f t="shared" si="7"/>
        <v>0</v>
      </c>
      <c r="AK220" s="34">
        <f t="shared" si="8"/>
        <v>0</v>
      </c>
    </row>
    <row r="221" spans="30:37" x14ac:dyDescent="0.3">
      <c r="AD221" s="33" t="s">
        <v>287</v>
      </c>
      <c r="AE221" s="34">
        <v>10</v>
      </c>
      <c r="AF221" s="71"/>
      <c r="AG221" s="36"/>
      <c r="AH221" s="67"/>
      <c r="AI221" s="36"/>
      <c r="AJ221" s="52">
        <f t="shared" si="7"/>
        <v>0</v>
      </c>
      <c r="AK221" s="34">
        <f t="shared" si="8"/>
        <v>0</v>
      </c>
    </row>
    <row r="222" spans="30:37" x14ac:dyDescent="0.3">
      <c r="AD222" s="41"/>
      <c r="AE222" s="34"/>
      <c r="AF222" s="71"/>
      <c r="AG222" s="36"/>
      <c r="AH222" s="67"/>
      <c r="AI222" s="36"/>
      <c r="AJ222" s="52">
        <f t="shared" si="7"/>
        <v>0</v>
      </c>
      <c r="AK222" s="34">
        <f t="shared" si="8"/>
        <v>0</v>
      </c>
    </row>
    <row r="223" spans="30:37" x14ac:dyDescent="0.3">
      <c r="AD223" s="33" t="s">
        <v>288</v>
      </c>
      <c r="AE223" s="34">
        <v>5</v>
      </c>
      <c r="AF223" s="71"/>
      <c r="AG223" s="36"/>
      <c r="AH223" s="67"/>
      <c r="AI223" s="36"/>
      <c r="AJ223" s="52">
        <f t="shared" si="7"/>
        <v>0</v>
      </c>
      <c r="AK223" s="34">
        <f t="shared" si="8"/>
        <v>0</v>
      </c>
    </row>
    <row r="224" spans="30:37" x14ac:dyDescent="0.3">
      <c r="AD224" s="33" t="s">
        <v>289</v>
      </c>
      <c r="AE224" s="34">
        <v>11</v>
      </c>
      <c r="AF224" s="71"/>
      <c r="AG224" s="36"/>
      <c r="AH224" s="67"/>
      <c r="AI224" s="36"/>
      <c r="AJ224" s="52">
        <f t="shared" si="7"/>
        <v>0</v>
      </c>
      <c r="AK224" s="34">
        <f t="shared" si="8"/>
        <v>0</v>
      </c>
    </row>
    <row r="225" spans="30:37" x14ac:dyDescent="0.3">
      <c r="AD225" s="33" t="s">
        <v>290</v>
      </c>
      <c r="AE225" s="34">
        <v>9</v>
      </c>
      <c r="AF225" s="71"/>
      <c r="AG225" s="36"/>
      <c r="AH225" s="67"/>
      <c r="AI225" s="36"/>
      <c r="AJ225" s="52">
        <f t="shared" si="7"/>
        <v>0</v>
      </c>
      <c r="AK225" s="34">
        <f t="shared" si="8"/>
        <v>0</v>
      </c>
    </row>
    <row r="226" spans="30:37" x14ac:dyDescent="0.3">
      <c r="AD226" s="33" t="s">
        <v>291</v>
      </c>
      <c r="AE226" s="34">
        <v>16</v>
      </c>
      <c r="AF226" s="71"/>
      <c r="AG226" s="36"/>
      <c r="AH226" s="67"/>
      <c r="AI226" s="36"/>
      <c r="AJ226" s="52">
        <f t="shared" si="7"/>
        <v>0</v>
      </c>
      <c r="AK226" s="34">
        <f t="shared" si="8"/>
        <v>0</v>
      </c>
    </row>
    <row r="227" spans="30:37" x14ac:dyDescent="0.3">
      <c r="AD227" s="33" t="s">
        <v>292</v>
      </c>
      <c r="AE227" s="34">
        <v>40</v>
      </c>
      <c r="AF227" s="71"/>
      <c r="AG227" s="36"/>
      <c r="AH227" s="67"/>
      <c r="AI227" s="36"/>
      <c r="AJ227" s="52">
        <f t="shared" si="7"/>
        <v>0</v>
      </c>
      <c r="AK227" s="34">
        <f t="shared" si="8"/>
        <v>0</v>
      </c>
    </row>
    <row r="228" spans="30:37" x14ac:dyDescent="0.3">
      <c r="AD228" s="56" t="s">
        <v>484</v>
      </c>
      <c r="AE228" s="52">
        <v>10</v>
      </c>
      <c r="AF228" s="71"/>
      <c r="AG228" s="36"/>
      <c r="AH228" s="67"/>
      <c r="AI228" s="36"/>
      <c r="AJ228" s="52">
        <f t="shared" si="7"/>
        <v>0</v>
      </c>
      <c r="AK228" s="34">
        <f t="shared" si="8"/>
        <v>0</v>
      </c>
    </row>
    <row r="229" spans="30:37" x14ac:dyDescent="0.3">
      <c r="AD229" s="56" t="s">
        <v>485</v>
      </c>
      <c r="AE229" s="52">
        <v>30</v>
      </c>
      <c r="AF229" s="71"/>
      <c r="AG229" s="36"/>
      <c r="AH229" s="67"/>
      <c r="AI229" s="36"/>
      <c r="AJ229" s="52">
        <f t="shared" si="7"/>
        <v>0</v>
      </c>
      <c r="AK229" s="34">
        <f t="shared" si="8"/>
        <v>0</v>
      </c>
    </row>
    <row r="230" spans="30:37" x14ac:dyDescent="0.3">
      <c r="AD230" s="33"/>
      <c r="AE230" s="34"/>
      <c r="AF230" s="71"/>
      <c r="AG230" s="36"/>
      <c r="AH230" s="67"/>
      <c r="AI230" s="36"/>
      <c r="AJ230" s="52">
        <f t="shared" si="7"/>
        <v>0</v>
      </c>
      <c r="AK230" s="34">
        <f t="shared" si="8"/>
        <v>0</v>
      </c>
    </row>
    <row r="231" spans="30:37" x14ac:dyDescent="0.3">
      <c r="AD231" s="33" t="s">
        <v>20</v>
      </c>
      <c r="AE231" s="34">
        <v>64.59</v>
      </c>
      <c r="AF231" s="71"/>
      <c r="AG231" s="36"/>
      <c r="AH231" s="67"/>
      <c r="AI231" s="36"/>
      <c r="AJ231" s="52">
        <f t="shared" si="7"/>
        <v>0</v>
      </c>
      <c r="AK231" s="34">
        <f t="shared" si="8"/>
        <v>0</v>
      </c>
    </row>
    <row r="232" spans="30:37" x14ac:dyDescent="0.3">
      <c r="AD232" s="42" t="s">
        <v>411</v>
      </c>
      <c r="AE232" s="34"/>
      <c r="AF232" s="71"/>
      <c r="AG232" s="36"/>
      <c r="AH232" s="67"/>
      <c r="AI232" s="36"/>
      <c r="AJ232" s="52">
        <f t="shared" si="7"/>
        <v>0</v>
      </c>
      <c r="AK232" s="34">
        <f t="shared" si="8"/>
        <v>0</v>
      </c>
    </row>
    <row r="233" spans="30:37" x14ac:dyDescent="0.3">
      <c r="AD233" s="33" t="s">
        <v>412</v>
      </c>
      <c r="AE233" s="34">
        <v>58.1</v>
      </c>
      <c r="AF233" s="71"/>
      <c r="AG233" s="36"/>
      <c r="AH233" s="67"/>
      <c r="AI233" s="36"/>
      <c r="AJ233" s="52">
        <f t="shared" si="7"/>
        <v>0</v>
      </c>
      <c r="AK233" s="34">
        <f t="shared" si="8"/>
        <v>0</v>
      </c>
    </row>
    <row r="234" spans="30:37" x14ac:dyDescent="0.3">
      <c r="AD234" s="42" t="s">
        <v>411</v>
      </c>
      <c r="AE234" s="34"/>
      <c r="AF234" s="71"/>
      <c r="AG234" s="36"/>
      <c r="AH234" s="67"/>
      <c r="AI234" s="36"/>
      <c r="AJ234" s="52">
        <f t="shared" si="7"/>
        <v>0</v>
      </c>
      <c r="AK234" s="34">
        <f t="shared" si="8"/>
        <v>0</v>
      </c>
    </row>
    <row r="235" spans="30:37" x14ac:dyDescent="0.3">
      <c r="AD235" s="33" t="s">
        <v>25</v>
      </c>
      <c r="AE235" s="34">
        <v>51.04</v>
      </c>
      <c r="AF235" s="71"/>
      <c r="AG235" s="36"/>
      <c r="AH235" s="67"/>
      <c r="AI235" s="36"/>
      <c r="AJ235" s="52">
        <f t="shared" si="7"/>
        <v>0</v>
      </c>
      <c r="AK235" s="34">
        <f t="shared" si="8"/>
        <v>0</v>
      </c>
    </row>
    <row r="236" spans="30:37" x14ac:dyDescent="0.3">
      <c r="AD236" s="42" t="s">
        <v>411</v>
      </c>
      <c r="AE236" s="34"/>
      <c r="AF236" s="71"/>
      <c r="AG236" s="36"/>
      <c r="AH236" s="67"/>
      <c r="AI236" s="36"/>
      <c r="AJ236" s="52">
        <f t="shared" si="7"/>
        <v>0</v>
      </c>
      <c r="AK236" s="34">
        <f t="shared" si="8"/>
        <v>0</v>
      </c>
    </row>
    <row r="237" spans="30:37" x14ac:dyDescent="0.3">
      <c r="AD237" s="33" t="s">
        <v>413</v>
      </c>
      <c r="AE237" s="34">
        <v>19.2</v>
      </c>
      <c r="AF237" s="71"/>
      <c r="AG237" s="36"/>
      <c r="AH237" s="67"/>
      <c r="AI237" s="36"/>
      <c r="AJ237" s="52">
        <f t="shared" si="7"/>
        <v>0</v>
      </c>
      <c r="AK237" s="34">
        <f t="shared" si="8"/>
        <v>0</v>
      </c>
    </row>
    <row r="238" spans="30:37" x14ac:dyDescent="0.3">
      <c r="AD238" s="42" t="s">
        <v>411</v>
      </c>
      <c r="AE238" s="34"/>
      <c r="AF238" s="71"/>
      <c r="AG238" s="36"/>
      <c r="AH238" s="67"/>
      <c r="AI238" s="36"/>
      <c r="AJ238" s="52">
        <f t="shared" si="7"/>
        <v>0</v>
      </c>
      <c r="AK238" s="34">
        <f t="shared" si="8"/>
        <v>0</v>
      </c>
    </row>
    <row r="239" spans="30:37" x14ac:dyDescent="0.3">
      <c r="AD239" s="33" t="s">
        <v>297</v>
      </c>
      <c r="AE239" s="34">
        <v>22</v>
      </c>
      <c r="AF239" s="71"/>
      <c r="AG239" s="36"/>
      <c r="AH239" s="67"/>
      <c r="AI239" s="36"/>
      <c r="AJ239" s="52">
        <f t="shared" si="7"/>
        <v>0</v>
      </c>
      <c r="AK239" s="34">
        <f t="shared" si="8"/>
        <v>0</v>
      </c>
    </row>
    <row r="240" spans="30:37" x14ac:dyDescent="0.3">
      <c r="AD240" s="42" t="s">
        <v>411</v>
      </c>
      <c r="AE240" s="34"/>
      <c r="AF240" s="71"/>
      <c r="AG240" s="36"/>
      <c r="AH240" s="67"/>
      <c r="AI240" s="36"/>
      <c r="AJ240" s="52">
        <f t="shared" si="7"/>
        <v>0</v>
      </c>
      <c r="AK240" s="34">
        <f t="shared" si="8"/>
        <v>0</v>
      </c>
    </row>
    <row r="241" spans="30:37" x14ac:dyDescent="0.3">
      <c r="AD241" s="33" t="s">
        <v>24</v>
      </c>
      <c r="AE241" s="34">
        <v>64.95</v>
      </c>
      <c r="AF241" s="71"/>
      <c r="AG241" s="36"/>
      <c r="AH241" s="67"/>
      <c r="AI241" s="36"/>
      <c r="AJ241" s="52">
        <f t="shared" si="7"/>
        <v>0</v>
      </c>
      <c r="AK241" s="34">
        <f t="shared" si="8"/>
        <v>0</v>
      </c>
    </row>
    <row r="242" spans="30:37" x14ac:dyDescent="0.3">
      <c r="AD242" s="42" t="s">
        <v>411</v>
      </c>
      <c r="AE242" s="34"/>
      <c r="AF242" s="71"/>
      <c r="AG242" s="36"/>
      <c r="AH242" s="67"/>
      <c r="AI242" s="36"/>
      <c r="AJ242" s="52">
        <f t="shared" si="7"/>
        <v>0</v>
      </c>
      <c r="AK242" s="34">
        <f t="shared" si="8"/>
        <v>0</v>
      </c>
    </row>
    <row r="243" spans="30:37" x14ac:dyDescent="0.3">
      <c r="AD243" s="42"/>
      <c r="AE243" s="34"/>
      <c r="AF243" s="71"/>
      <c r="AG243" s="36"/>
      <c r="AH243" s="67"/>
      <c r="AI243" s="36"/>
      <c r="AJ243" s="52">
        <f t="shared" si="7"/>
        <v>0</v>
      </c>
      <c r="AK243" s="34">
        <f t="shared" si="8"/>
        <v>0</v>
      </c>
    </row>
    <row r="244" spans="30:37" x14ac:dyDescent="0.3">
      <c r="AD244" s="33" t="s">
        <v>299</v>
      </c>
      <c r="AE244" s="34">
        <v>5</v>
      </c>
      <c r="AF244" s="71"/>
      <c r="AG244" s="36"/>
      <c r="AH244" s="67"/>
      <c r="AI244" s="36"/>
      <c r="AJ244" s="52">
        <f t="shared" si="7"/>
        <v>0</v>
      </c>
      <c r="AK244" s="34">
        <f t="shared" si="8"/>
        <v>0</v>
      </c>
    </row>
    <row r="245" spans="30:37" x14ac:dyDescent="0.3">
      <c r="AD245" s="33" t="s">
        <v>414</v>
      </c>
      <c r="AE245" s="34">
        <v>9</v>
      </c>
      <c r="AF245" s="71"/>
      <c r="AG245" s="36"/>
      <c r="AH245" s="67"/>
      <c r="AI245" s="36"/>
      <c r="AJ245" s="52">
        <f t="shared" si="7"/>
        <v>0</v>
      </c>
      <c r="AK245" s="34">
        <f t="shared" si="8"/>
        <v>0</v>
      </c>
    </row>
    <row r="246" spans="30:37" x14ac:dyDescent="0.3">
      <c r="AD246" s="33" t="s">
        <v>415</v>
      </c>
      <c r="AE246" s="34">
        <v>12</v>
      </c>
      <c r="AF246" s="71"/>
      <c r="AG246" s="36"/>
      <c r="AH246" s="67"/>
      <c r="AI246" s="36"/>
      <c r="AJ246" s="52">
        <f t="shared" si="7"/>
        <v>0</v>
      </c>
      <c r="AK246" s="34">
        <f t="shared" si="8"/>
        <v>0</v>
      </c>
    </row>
    <row r="247" spans="30:37" x14ac:dyDescent="0.3">
      <c r="AD247" s="33" t="s">
        <v>416</v>
      </c>
      <c r="AE247" s="34">
        <v>15</v>
      </c>
      <c r="AF247" s="71"/>
      <c r="AG247" s="36"/>
      <c r="AH247" s="67"/>
      <c r="AI247" s="36"/>
      <c r="AJ247" s="52">
        <f t="shared" si="7"/>
        <v>0</v>
      </c>
      <c r="AK247" s="34">
        <f t="shared" si="8"/>
        <v>0</v>
      </c>
    </row>
    <row r="248" spans="30:37" x14ac:dyDescent="0.3">
      <c r="AD248" s="33" t="s">
        <v>417</v>
      </c>
      <c r="AE248" s="34">
        <v>20</v>
      </c>
      <c r="AF248" s="71"/>
      <c r="AG248" s="36"/>
      <c r="AH248" s="67"/>
      <c r="AI248" s="36"/>
      <c r="AJ248" s="52">
        <f t="shared" si="7"/>
        <v>0</v>
      </c>
      <c r="AK248" s="34">
        <f t="shared" si="8"/>
        <v>0</v>
      </c>
    </row>
    <row r="249" spans="30:37" x14ac:dyDescent="0.3">
      <c r="AD249" s="33" t="s">
        <v>418</v>
      </c>
      <c r="AE249" s="34">
        <v>40</v>
      </c>
      <c r="AF249" s="71"/>
      <c r="AG249" s="36"/>
      <c r="AH249" s="67"/>
      <c r="AI249" s="36"/>
      <c r="AJ249" s="52">
        <f t="shared" si="7"/>
        <v>0</v>
      </c>
      <c r="AK249" s="34">
        <f t="shared" si="8"/>
        <v>0</v>
      </c>
    </row>
    <row r="250" spans="30:37" x14ac:dyDescent="0.3">
      <c r="AD250" s="33"/>
      <c r="AE250" s="34"/>
      <c r="AF250" s="71"/>
      <c r="AG250" s="36"/>
      <c r="AH250" s="67"/>
      <c r="AI250" s="36"/>
      <c r="AJ250" s="52">
        <f t="shared" si="7"/>
        <v>0</v>
      </c>
      <c r="AK250" s="34">
        <f t="shared" si="8"/>
        <v>0</v>
      </c>
    </row>
    <row r="251" spans="30:37" x14ac:dyDescent="0.3">
      <c r="AD251" s="33" t="s">
        <v>419</v>
      </c>
      <c r="AE251" s="34">
        <v>15</v>
      </c>
      <c r="AF251" s="71"/>
      <c r="AG251" s="36"/>
      <c r="AH251" s="67"/>
      <c r="AI251" s="36"/>
      <c r="AJ251" s="52">
        <f t="shared" si="7"/>
        <v>0</v>
      </c>
      <c r="AK251" s="34">
        <f t="shared" si="8"/>
        <v>0</v>
      </c>
    </row>
    <row r="252" spans="30:37" x14ac:dyDescent="0.3">
      <c r="AD252" s="33" t="s">
        <v>420</v>
      </c>
      <c r="AE252" s="34">
        <v>7.5</v>
      </c>
      <c r="AF252" s="71"/>
      <c r="AG252" s="36"/>
      <c r="AH252" s="67"/>
      <c r="AI252" s="36"/>
      <c r="AJ252" s="52">
        <f t="shared" si="7"/>
        <v>0</v>
      </c>
      <c r="AK252" s="34">
        <f t="shared" si="8"/>
        <v>0</v>
      </c>
    </row>
    <row r="253" spans="30:37" x14ac:dyDescent="0.3">
      <c r="AD253" s="33" t="s">
        <v>421</v>
      </c>
      <c r="AE253" s="34">
        <v>80</v>
      </c>
      <c r="AF253" s="71"/>
      <c r="AG253" s="36"/>
      <c r="AH253" s="67"/>
      <c r="AI253" s="36"/>
      <c r="AJ253" s="52">
        <f t="shared" si="7"/>
        <v>0</v>
      </c>
      <c r="AK253" s="34">
        <f t="shared" si="8"/>
        <v>0</v>
      </c>
    </row>
    <row r="254" spans="30:37" x14ac:dyDescent="0.3">
      <c r="AD254" s="33" t="s">
        <v>422</v>
      </c>
      <c r="AE254" s="34">
        <v>60</v>
      </c>
      <c r="AF254" s="71"/>
      <c r="AG254" s="36"/>
      <c r="AH254" s="67"/>
      <c r="AI254" s="36"/>
      <c r="AJ254" s="52">
        <f t="shared" si="7"/>
        <v>0</v>
      </c>
      <c r="AK254" s="34">
        <f t="shared" si="8"/>
        <v>0</v>
      </c>
    </row>
    <row r="255" spans="30:37" x14ac:dyDescent="0.3">
      <c r="AD255" s="33"/>
      <c r="AE255" s="34"/>
      <c r="AF255" s="71"/>
      <c r="AG255" s="36"/>
      <c r="AH255" s="67"/>
      <c r="AI255" s="36"/>
      <c r="AJ255" s="52">
        <f t="shared" si="7"/>
        <v>0</v>
      </c>
      <c r="AK255" s="34">
        <f t="shared" si="8"/>
        <v>0</v>
      </c>
    </row>
    <row r="256" spans="30:37" x14ac:dyDescent="0.3">
      <c r="AD256" s="33" t="s">
        <v>423</v>
      </c>
      <c r="AE256" s="34">
        <v>25</v>
      </c>
      <c r="AF256" s="71"/>
      <c r="AG256" s="36"/>
      <c r="AH256" s="67"/>
      <c r="AI256" s="36"/>
      <c r="AJ256" s="52">
        <f t="shared" si="7"/>
        <v>0</v>
      </c>
      <c r="AK256" s="34">
        <f t="shared" si="8"/>
        <v>0</v>
      </c>
    </row>
    <row r="257" spans="30:37" x14ac:dyDescent="0.3">
      <c r="AD257" s="33" t="s">
        <v>424</v>
      </c>
      <c r="AE257" s="34"/>
      <c r="AF257" s="71"/>
      <c r="AG257" s="36"/>
      <c r="AH257" s="67"/>
      <c r="AI257" s="36"/>
      <c r="AJ257" s="52">
        <f t="shared" si="7"/>
        <v>0</v>
      </c>
      <c r="AK257" s="34">
        <f t="shared" si="8"/>
        <v>0</v>
      </c>
    </row>
    <row r="258" spans="30:37" x14ac:dyDescent="0.3">
      <c r="AD258" s="33" t="s">
        <v>425</v>
      </c>
      <c r="AE258" s="34">
        <v>29</v>
      </c>
      <c r="AF258" s="71"/>
      <c r="AG258" s="36"/>
      <c r="AH258" s="67"/>
      <c r="AI258" s="36"/>
      <c r="AJ258" s="52">
        <f t="shared" si="7"/>
        <v>0</v>
      </c>
      <c r="AK258" s="34">
        <f t="shared" si="8"/>
        <v>0</v>
      </c>
    </row>
    <row r="259" spans="30:37" x14ac:dyDescent="0.3">
      <c r="AD259" s="33" t="s">
        <v>426</v>
      </c>
      <c r="AE259" s="34">
        <v>40</v>
      </c>
      <c r="AF259" s="71"/>
      <c r="AG259" s="36"/>
      <c r="AH259" s="67"/>
      <c r="AI259" s="36"/>
      <c r="AJ259" s="52">
        <f t="shared" si="7"/>
        <v>0</v>
      </c>
      <c r="AK259" s="34">
        <f t="shared" si="8"/>
        <v>0</v>
      </c>
    </row>
    <row r="260" spans="30:37" x14ac:dyDescent="0.3">
      <c r="AD260" s="33" t="s">
        <v>427</v>
      </c>
      <c r="AE260" s="34">
        <v>5</v>
      </c>
      <c r="AF260" s="71"/>
      <c r="AG260" s="36"/>
      <c r="AH260" s="67"/>
      <c r="AI260" s="36"/>
      <c r="AJ260" s="52">
        <f t="shared" si="7"/>
        <v>0</v>
      </c>
      <c r="AK260" s="34">
        <f t="shared" si="8"/>
        <v>0</v>
      </c>
    </row>
    <row r="261" spans="30:37" x14ac:dyDescent="0.3">
      <c r="AD261" s="33" t="s">
        <v>428</v>
      </c>
      <c r="AE261" s="34">
        <v>15</v>
      </c>
      <c r="AF261" s="71"/>
      <c r="AG261" s="36"/>
      <c r="AH261" s="67"/>
      <c r="AI261" s="36"/>
      <c r="AJ261" s="52">
        <f t="shared" si="7"/>
        <v>0</v>
      </c>
      <c r="AK261" s="34">
        <f t="shared" si="8"/>
        <v>0</v>
      </c>
    </row>
    <row r="262" spans="30:37" x14ac:dyDescent="0.3">
      <c r="AD262" s="33" t="s">
        <v>429</v>
      </c>
      <c r="AE262" s="34">
        <v>20</v>
      </c>
      <c r="AF262" s="71"/>
      <c r="AG262" s="36"/>
      <c r="AH262" s="67"/>
      <c r="AI262" s="36"/>
      <c r="AJ262" s="52">
        <f t="shared" si="7"/>
        <v>0</v>
      </c>
      <c r="AK262" s="34">
        <f t="shared" si="8"/>
        <v>0</v>
      </c>
    </row>
    <row r="263" spans="30:37" x14ac:dyDescent="0.3">
      <c r="AD263" s="33" t="s">
        <v>430</v>
      </c>
      <c r="AE263" s="34">
        <v>65</v>
      </c>
      <c r="AF263" s="71"/>
      <c r="AG263" s="36"/>
      <c r="AH263" s="67"/>
      <c r="AI263" s="36"/>
      <c r="AJ263" s="52">
        <f t="shared" si="7"/>
        <v>0</v>
      </c>
      <c r="AK263" s="34">
        <f t="shared" si="8"/>
        <v>0</v>
      </c>
    </row>
    <row r="264" spans="30:37" x14ac:dyDescent="0.3">
      <c r="AD264" s="33" t="s">
        <v>431</v>
      </c>
      <c r="AE264" s="34">
        <v>78</v>
      </c>
      <c r="AF264" s="71"/>
      <c r="AG264" s="36"/>
      <c r="AH264" s="67"/>
      <c r="AI264" s="36"/>
      <c r="AJ264" s="52">
        <f t="shared" si="7"/>
        <v>0</v>
      </c>
      <c r="AK264" s="34">
        <f t="shared" si="8"/>
        <v>0</v>
      </c>
    </row>
    <row r="265" spans="30:37" x14ac:dyDescent="0.3">
      <c r="AD265" s="33" t="s">
        <v>432</v>
      </c>
      <c r="AE265" s="34">
        <v>25</v>
      </c>
      <c r="AF265" s="71"/>
      <c r="AG265" s="36"/>
      <c r="AH265" s="67"/>
      <c r="AI265" s="36"/>
      <c r="AJ265" s="52">
        <f t="shared" si="7"/>
        <v>0</v>
      </c>
      <c r="AK265" s="34">
        <f t="shared" si="8"/>
        <v>0</v>
      </c>
    </row>
    <row r="266" spans="30:37" x14ac:dyDescent="0.3">
      <c r="AD266" s="33" t="s">
        <v>310</v>
      </c>
      <c r="AE266" s="34">
        <v>30</v>
      </c>
      <c r="AF266" s="71"/>
      <c r="AG266" s="36"/>
      <c r="AH266" s="67"/>
      <c r="AI266" s="36"/>
      <c r="AJ266" s="52">
        <f t="shared" ref="AJ266:AJ329" si="9">SUM(AG266*AE266)</f>
        <v>0</v>
      </c>
      <c r="AK266" s="34">
        <f t="shared" si="8"/>
        <v>0</v>
      </c>
    </row>
    <row r="267" spans="30:37" x14ac:dyDescent="0.3">
      <c r="AD267" s="33" t="s">
        <v>433</v>
      </c>
      <c r="AE267" s="34">
        <v>3</v>
      </c>
      <c r="AF267" s="71"/>
      <c r="AG267" s="36"/>
      <c r="AH267" s="67"/>
      <c r="AI267" s="36"/>
      <c r="AJ267" s="52">
        <f t="shared" si="9"/>
        <v>0</v>
      </c>
      <c r="AK267" s="34">
        <f t="shared" ref="AK267:AK330" si="10">SUM(AE267*AF267)</f>
        <v>0</v>
      </c>
    </row>
    <row r="268" spans="30:37" x14ac:dyDescent="0.3">
      <c r="AD268" s="41"/>
      <c r="AE268" s="34"/>
      <c r="AF268" s="71"/>
      <c r="AG268" s="36"/>
      <c r="AH268" s="67"/>
      <c r="AI268" s="36"/>
      <c r="AJ268" s="52">
        <f t="shared" si="9"/>
        <v>0</v>
      </c>
      <c r="AK268" s="34">
        <f t="shared" si="10"/>
        <v>0</v>
      </c>
    </row>
    <row r="269" spans="30:37" x14ac:dyDescent="0.3">
      <c r="AD269" s="33" t="s">
        <v>316</v>
      </c>
      <c r="AE269" s="34">
        <v>154</v>
      </c>
      <c r="AF269" s="71"/>
      <c r="AG269" s="36"/>
      <c r="AH269" s="67"/>
      <c r="AI269" s="36"/>
      <c r="AJ269" s="52">
        <f t="shared" si="9"/>
        <v>0</v>
      </c>
      <c r="AK269" s="34">
        <f t="shared" si="10"/>
        <v>0</v>
      </c>
    </row>
    <row r="270" spans="30:37" x14ac:dyDescent="0.3">
      <c r="AD270" s="33" t="s">
        <v>317</v>
      </c>
      <c r="AE270" s="34">
        <v>215.17</v>
      </c>
      <c r="AF270" s="71"/>
      <c r="AG270" s="36"/>
      <c r="AH270" s="67"/>
      <c r="AI270" s="36"/>
      <c r="AJ270" s="52">
        <f t="shared" si="9"/>
        <v>0</v>
      </c>
      <c r="AK270" s="34">
        <f t="shared" si="10"/>
        <v>0</v>
      </c>
    </row>
    <row r="271" spans="30:37" x14ac:dyDescent="0.3">
      <c r="AD271" s="33" t="s">
        <v>434</v>
      </c>
      <c r="AE271" s="34">
        <v>210.79</v>
      </c>
      <c r="AF271" s="71"/>
      <c r="AG271" s="36"/>
      <c r="AH271" s="67"/>
      <c r="AI271" s="36"/>
      <c r="AJ271" s="52">
        <f t="shared" si="9"/>
        <v>0</v>
      </c>
      <c r="AK271" s="34">
        <f t="shared" si="10"/>
        <v>0</v>
      </c>
    </row>
    <row r="272" spans="30:37" x14ac:dyDescent="0.3">
      <c r="AD272" s="33" t="s">
        <v>435</v>
      </c>
      <c r="AE272" s="34">
        <v>90.33</v>
      </c>
      <c r="AF272" s="71"/>
      <c r="AG272" s="36"/>
      <c r="AH272" s="67"/>
      <c r="AI272" s="36"/>
      <c r="AJ272" s="52">
        <f t="shared" si="9"/>
        <v>0</v>
      </c>
      <c r="AK272" s="34">
        <f t="shared" si="10"/>
        <v>0</v>
      </c>
    </row>
    <row r="273" spans="30:37" x14ac:dyDescent="0.3">
      <c r="AD273" s="33" t="s">
        <v>318</v>
      </c>
      <c r="AE273" s="34">
        <v>134.9</v>
      </c>
      <c r="AF273" s="71"/>
      <c r="AG273" s="36"/>
      <c r="AH273" s="67"/>
      <c r="AI273" s="36"/>
      <c r="AJ273" s="52">
        <f t="shared" si="9"/>
        <v>0</v>
      </c>
      <c r="AK273" s="34">
        <f t="shared" si="10"/>
        <v>0</v>
      </c>
    </row>
    <row r="274" spans="30:37" x14ac:dyDescent="0.3">
      <c r="AD274" s="33" t="s">
        <v>319</v>
      </c>
      <c r="AE274" s="34">
        <v>126.47</v>
      </c>
      <c r="AF274" s="71"/>
      <c r="AG274" s="36"/>
      <c r="AH274" s="67"/>
      <c r="AI274" s="36"/>
      <c r="AJ274" s="52">
        <f t="shared" si="9"/>
        <v>0</v>
      </c>
      <c r="AK274" s="34">
        <f t="shared" si="10"/>
        <v>0</v>
      </c>
    </row>
    <row r="275" spans="30:37" x14ac:dyDescent="0.3">
      <c r="AD275" s="33" t="s">
        <v>320</v>
      </c>
      <c r="AE275" s="34">
        <v>197.53</v>
      </c>
      <c r="AF275" s="71"/>
      <c r="AG275" s="36"/>
      <c r="AH275" s="67"/>
      <c r="AI275" s="36"/>
      <c r="AJ275" s="52">
        <f t="shared" si="9"/>
        <v>0</v>
      </c>
      <c r="AK275" s="34">
        <f t="shared" si="10"/>
        <v>0</v>
      </c>
    </row>
    <row r="276" spans="30:37" x14ac:dyDescent="0.3">
      <c r="AD276" s="33" t="s">
        <v>321</v>
      </c>
      <c r="AE276" s="34">
        <v>197.53</v>
      </c>
      <c r="AF276" s="71"/>
      <c r="AG276" s="36"/>
      <c r="AH276" s="67"/>
      <c r="AI276" s="36"/>
      <c r="AJ276" s="52">
        <f t="shared" si="9"/>
        <v>0</v>
      </c>
      <c r="AK276" s="34">
        <f t="shared" si="10"/>
        <v>0</v>
      </c>
    </row>
    <row r="277" spans="30:37" x14ac:dyDescent="0.3">
      <c r="AD277" s="33" t="s">
        <v>322</v>
      </c>
      <c r="AE277" s="34">
        <v>32</v>
      </c>
      <c r="AF277" s="71"/>
      <c r="AG277" s="36"/>
      <c r="AH277" s="67"/>
      <c r="AI277" s="36"/>
      <c r="AJ277" s="52">
        <f t="shared" si="9"/>
        <v>0</v>
      </c>
      <c r="AK277" s="34">
        <f t="shared" si="10"/>
        <v>0</v>
      </c>
    </row>
    <row r="278" spans="30:37" x14ac:dyDescent="0.3">
      <c r="AD278" s="41"/>
      <c r="AE278" s="34"/>
      <c r="AF278" s="71"/>
      <c r="AG278" s="36"/>
      <c r="AH278" s="67"/>
      <c r="AI278" s="36"/>
      <c r="AJ278" s="52">
        <f t="shared" si="9"/>
        <v>0</v>
      </c>
      <c r="AK278" s="34">
        <f t="shared" si="10"/>
        <v>0</v>
      </c>
    </row>
    <row r="279" spans="30:37" x14ac:dyDescent="0.3">
      <c r="AD279" s="33" t="s">
        <v>323</v>
      </c>
      <c r="AE279" s="34">
        <v>32.200000000000003</v>
      </c>
      <c r="AF279" s="71"/>
      <c r="AG279" s="36"/>
      <c r="AH279" s="67"/>
      <c r="AI279" s="36"/>
      <c r="AJ279" s="52">
        <f t="shared" si="9"/>
        <v>0</v>
      </c>
      <c r="AK279" s="34">
        <f t="shared" si="10"/>
        <v>0</v>
      </c>
    </row>
    <row r="280" spans="30:37" x14ac:dyDescent="0.3">
      <c r="AD280" s="33" t="s">
        <v>324</v>
      </c>
      <c r="AE280" s="34">
        <v>61.73</v>
      </c>
      <c r="AF280" s="71"/>
      <c r="AG280" s="36"/>
      <c r="AH280" s="67"/>
      <c r="AI280" s="36"/>
      <c r="AJ280" s="52">
        <f t="shared" si="9"/>
        <v>0</v>
      </c>
      <c r="AK280" s="34">
        <f t="shared" si="10"/>
        <v>0</v>
      </c>
    </row>
    <row r="281" spans="30:37" x14ac:dyDescent="0.3">
      <c r="AD281" s="33" t="s">
        <v>325</v>
      </c>
      <c r="AE281" s="34">
        <v>96.62</v>
      </c>
      <c r="AF281" s="71"/>
      <c r="AG281" s="36"/>
      <c r="AH281" s="67"/>
      <c r="AI281" s="36"/>
      <c r="AJ281" s="52">
        <f t="shared" si="9"/>
        <v>0</v>
      </c>
      <c r="AK281" s="34">
        <f t="shared" si="10"/>
        <v>0</v>
      </c>
    </row>
    <row r="282" spans="30:37" x14ac:dyDescent="0.3">
      <c r="AD282" s="33" t="s">
        <v>326</v>
      </c>
      <c r="AE282" s="34">
        <v>74.3</v>
      </c>
      <c r="AF282" s="71"/>
      <c r="AG282" s="36"/>
      <c r="AH282" s="67"/>
      <c r="AI282" s="36"/>
      <c r="AJ282" s="52">
        <f t="shared" si="9"/>
        <v>0</v>
      </c>
      <c r="AK282" s="34">
        <f t="shared" si="10"/>
        <v>0</v>
      </c>
    </row>
    <row r="283" spans="30:37" x14ac:dyDescent="0.3">
      <c r="AD283" s="41"/>
      <c r="AE283" s="34"/>
      <c r="AF283" s="71"/>
      <c r="AG283" s="36"/>
      <c r="AH283" s="67"/>
      <c r="AI283" s="36"/>
      <c r="AJ283" s="52">
        <f t="shared" si="9"/>
        <v>0</v>
      </c>
      <c r="AK283" s="34">
        <f t="shared" si="10"/>
        <v>0</v>
      </c>
    </row>
    <row r="284" spans="30:37" x14ac:dyDescent="0.3">
      <c r="AD284" s="33" t="s">
        <v>436</v>
      </c>
      <c r="AE284" s="34">
        <v>20.13</v>
      </c>
      <c r="AF284" s="71"/>
      <c r="AG284" s="36"/>
      <c r="AH284" s="67"/>
      <c r="AI284" s="36"/>
      <c r="AJ284" s="52">
        <f t="shared" si="9"/>
        <v>0</v>
      </c>
      <c r="AK284" s="34">
        <f t="shared" si="10"/>
        <v>0</v>
      </c>
    </row>
    <row r="285" spans="30:37" x14ac:dyDescent="0.3">
      <c r="AD285" s="33" t="s">
        <v>437</v>
      </c>
      <c r="AE285" s="34">
        <v>66.25</v>
      </c>
      <c r="AF285" s="71"/>
      <c r="AG285" s="36"/>
      <c r="AH285" s="67"/>
      <c r="AI285" s="36"/>
      <c r="AJ285" s="52">
        <f t="shared" si="9"/>
        <v>0</v>
      </c>
      <c r="AK285" s="34">
        <f t="shared" si="10"/>
        <v>0</v>
      </c>
    </row>
    <row r="286" spans="30:37" x14ac:dyDescent="0.3">
      <c r="AD286" s="33"/>
      <c r="AE286" s="34"/>
      <c r="AF286" s="71"/>
      <c r="AG286" s="36"/>
      <c r="AH286" s="67"/>
      <c r="AI286" s="36"/>
      <c r="AJ286" s="52">
        <f t="shared" si="9"/>
        <v>0</v>
      </c>
      <c r="AK286" s="34">
        <f t="shared" si="10"/>
        <v>0</v>
      </c>
    </row>
    <row r="287" spans="30:37" x14ac:dyDescent="0.3">
      <c r="AD287" s="33" t="s">
        <v>438</v>
      </c>
      <c r="AE287" s="34">
        <v>21</v>
      </c>
      <c r="AF287" s="71"/>
      <c r="AG287" s="36"/>
      <c r="AH287" s="67"/>
      <c r="AI287" s="36"/>
      <c r="AJ287" s="52">
        <f t="shared" si="9"/>
        <v>0</v>
      </c>
      <c r="AK287" s="34">
        <f t="shared" si="10"/>
        <v>0</v>
      </c>
    </row>
    <row r="288" spans="30:37" x14ac:dyDescent="0.3">
      <c r="AD288" s="33" t="s">
        <v>439</v>
      </c>
      <c r="AE288" s="34">
        <v>43.1</v>
      </c>
      <c r="AF288" s="71"/>
      <c r="AG288" s="36"/>
      <c r="AH288" s="67"/>
      <c r="AI288" s="36"/>
      <c r="AJ288" s="52">
        <f t="shared" si="9"/>
        <v>0</v>
      </c>
      <c r="AK288" s="34">
        <f t="shared" si="10"/>
        <v>0</v>
      </c>
    </row>
    <row r="289" spans="30:37" x14ac:dyDescent="0.3">
      <c r="AD289" s="33" t="s">
        <v>440</v>
      </c>
      <c r="AE289" s="34">
        <v>33</v>
      </c>
      <c r="AF289" s="71"/>
      <c r="AG289" s="36"/>
      <c r="AH289" s="67"/>
      <c r="AI289" s="36"/>
      <c r="AJ289" s="52">
        <f t="shared" si="9"/>
        <v>0</v>
      </c>
      <c r="AK289" s="34">
        <f t="shared" si="10"/>
        <v>0</v>
      </c>
    </row>
    <row r="290" spans="30:37" x14ac:dyDescent="0.3">
      <c r="AD290" s="33"/>
      <c r="AE290" s="34"/>
      <c r="AF290" s="71"/>
      <c r="AG290" s="36"/>
      <c r="AH290" s="67"/>
      <c r="AI290" s="36"/>
      <c r="AJ290" s="52">
        <f t="shared" si="9"/>
        <v>0</v>
      </c>
      <c r="AK290" s="34">
        <f t="shared" si="10"/>
        <v>0</v>
      </c>
    </row>
    <row r="291" spans="30:37" x14ac:dyDescent="0.3">
      <c r="AD291" s="33" t="s">
        <v>331</v>
      </c>
      <c r="AE291" s="34">
        <v>22.3</v>
      </c>
      <c r="AF291" s="71"/>
      <c r="AG291" s="36"/>
      <c r="AH291" s="67"/>
      <c r="AI291" s="36"/>
      <c r="AJ291" s="52">
        <f t="shared" si="9"/>
        <v>0</v>
      </c>
      <c r="AK291" s="34">
        <f t="shared" si="10"/>
        <v>0</v>
      </c>
    </row>
    <row r="292" spans="30:37" x14ac:dyDescent="0.3">
      <c r="AD292" s="33" t="s">
        <v>332</v>
      </c>
      <c r="AE292" s="34">
        <v>38.72</v>
      </c>
      <c r="AF292" s="71"/>
      <c r="AG292" s="36"/>
      <c r="AH292" s="67"/>
      <c r="AI292" s="36"/>
      <c r="AJ292" s="52">
        <f t="shared" si="9"/>
        <v>0</v>
      </c>
      <c r="AK292" s="34">
        <f t="shared" si="10"/>
        <v>0</v>
      </c>
    </row>
    <row r="293" spans="30:37" x14ac:dyDescent="0.3">
      <c r="AD293" s="33" t="s">
        <v>333</v>
      </c>
      <c r="AE293" s="34">
        <v>195.8</v>
      </c>
      <c r="AF293" s="71"/>
      <c r="AG293" s="36"/>
      <c r="AH293" s="67"/>
      <c r="AI293" s="36"/>
      <c r="AJ293" s="52">
        <f t="shared" si="9"/>
        <v>0</v>
      </c>
      <c r="AK293" s="34">
        <f t="shared" si="10"/>
        <v>0</v>
      </c>
    </row>
    <row r="294" spans="30:37" x14ac:dyDescent="0.3">
      <c r="AD294" s="33" t="s">
        <v>334</v>
      </c>
      <c r="AE294" s="34">
        <v>42.02</v>
      </c>
      <c r="AF294" s="71"/>
      <c r="AG294" s="36"/>
      <c r="AH294" s="67"/>
      <c r="AI294" s="36"/>
      <c r="AJ294" s="52">
        <f t="shared" si="9"/>
        <v>0</v>
      </c>
      <c r="AK294" s="34">
        <f t="shared" si="10"/>
        <v>0</v>
      </c>
    </row>
    <row r="295" spans="30:37" x14ac:dyDescent="0.3">
      <c r="AD295" s="33" t="s">
        <v>335</v>
      </c>
      <c r="AE295" s="34">
        <v>221</v>
      </c>
      <c r="AF295" s="71"/>
      <c r="AG295" s="36"/>
      <c r="AH295" s="67"/>
      <c r="AI295" s="36"/>
      <c r="AJ295" s="52">
        <f t="shared" si="9"/>
        <v>0</v>
      </c>
      <c r="AK295" s="34">
        <f t="shared" si="10"/>
        <v>0</v>
      </c>
    </row>
    <row r="296" spans="30:37" x14ac:dyDescent="0.3">
      <c r="AD296" s="41"/>
      <c r="AE296" s="34"/>
      <c r="AF296" s="71"/>
      <c r="AG296" s="36"/>
      <c r="AH296" s="67"/>
      <c r="AI296" s="36"/>
      <c r="AJ296" s="52">
        <f t="shared" si="9"/>
        <v>0</v>
      </c>
      <c r="AK296" s="34">
        <f t="shared" si="10"/>
        <v>0</v>
      </c>
    </row>
    <row r="297" spans="30:37" x14ac:dyDescent="0.3">
      <c r="AD297" s="33" t="s">
        <v>336</v>
      </c>
      <c r="AE297" s="34">
        <v>22.3</v>
      </c>
      <c r="AF297" s="71"/>
      <c r="AG297" s="36"/>
      <c r="AH297" s="67"/>
      <c r="AI297" s="36"/>
      <c r="AJ297" s="52">
        <f t="shared" si="9"/>
        <v>0</v>
      </c>
      <c r="AK297" s="34">
        <f t="shared" si="10"/>
        <v>0</v>
      </c>
    </row>
    <row r="298" spans="30:37" x14ac:dyDescent="0.3">
      <c r="AD298" s="33" t="s">
        <v>337</v>
      </c>
      <c r="AE298" s="34">
        <v>29</v>
      </c>
      <c r="AF298" s="71"/>
      <c r="AG298" s="36"/>
      <c r="AH298" s="67"/>
      <c r="AI298" s="36"/>
      <c r="AJ298" s="52">
        <f t="shared" si="9"/>
        <v>0</v>
      </c>
      <c r="AK298" s="34">
        <f t="shared" si="10"/>
        <v>0</v>
      </c>
    </row>
    <row r="299" spans="30:37" x14ac:dyDescent="0.3">
      <c r="AD299" s="33" t="s">
        <v>338</v>
      </c>
      <c r="AE299" s="34">
        <v>165.38</v>
      </c>
      <c r="AF299" s="71"/>
      <c r="AG299" s="36"/>
      <c r="AH299" s="67"/>
      <c r="AI299" s="36"/>
      <c r="AJ299" s="52">
        <f t="shared" si="9"/>
        <v>0</v>
      </c>
      <c r="AK299" s="34">
        <f t="shared" si="10"/>
        <v>0</v>
      </c>
    </row>
    <row r="300" spans="30:37" x14ac:dyDescent="0.3">
      <c r="AD300" s="33" t="s">
        <v>339</v>
      </c>
      <c r="AE300" s="34">
        <v>102</v>
      </c>
      <c r="AF300" s="71"/>
      <c r="AG300" s="36"/>
      <c r="AH300" s="67"/>
      <c r="AI300" s="36"/>
      <c r="AJ300" s="52">
        <f t="shared" si="9"/>
        <v>0</v>
      </c>
      <c r="AK300" s="34">
        <f t="shared" si="10"/>
        <v>0</v>
      </c>
    </row>
    <row r="301" spans="30:37" x14ac:dyDescent="0.3">
      <c r="AD301" s="41"/>
      <c r="AE301" s="34"/>
      <c r="AF301" s="71"/>
      <c r="AG301" s="36"/>
      <c r="AH301" s="67"/>
      <c r="AI301" s="36"/>
      <c r="AJ301" s="52">
        <f t="shared" si="9"/>
        <v>0</v>
      </c>
      <c r="AK301" s="34">
        <f t="shared" si="10"/>
        <v>0</v>
      </c>
    </row>
    <row r="302" spans="30:37" x14ac:dyDescent="0.3">
      <c r="AD302" s="33" t="s">
        <v>340</v>
      </c>
      <c r="AE302" s="34">
        <v>39.08</v>
      </c>
      <c r="AF302" s="71"/>
      <c r="AG302" s="36"/>
      <c r="AH302" s="67"/>
      <c r="AI302" s="36"/>
      <c r="AJ302" s="52">
        <f t="shared" si="9"/>
        <v>0</v>
      </c>
      <c r="AK302" s="34">
        <f t="shared" si="10"/>
        <v>0</v>
      </c>
    </row>
    <row r="303" spans="30:37" x14ac:dyDescent="0.3">
      <c r="AD303" s="33" t="s">
        <v>341</v>
      </c>
      <c r="AE303" s="34">
        <v>24</v>
      </c>
      <c r="AF303" s="71"/>
      <c r="AG303" s="36"/>
      <c r="AH303" s="67"/>
      <c r="AI303" s="36"/>
      <c r="AJ303" s="52">
        <f t="shared" si="9"/>
        <v>0</v>
      </c>
      <c r="AK303" s="34">
        <f t="shared" si="10"/>
        <v>0</v>
      </c>
    </row>
    <row r="304" spans="30:37" x14ac:dyDescent="0.3">
      <c r="AD304" s="33" t="s">
        <v>342</v>
      </c>
      <c r="AE304" s="34">
        <v>139.38</v>
      </c>
      <c r="AF304" s="71"/>
      <c r="AG304" s="36"/>
      <c r="AH304" s="67"/>
      <c r="AI304" s="36"/>
      <c r="AJ304" s="52">
        <f t="shared" si="9"/>
        <v>0</v>
      </c>
      <c r="AK304" s="34">
        <f t="shared" si="10"/>
        <v>0</v>
      </c>
    </row>
    <row r="305" spans="30:37" x14ac:dyDescent="0.3">
      <c r="AD305" s="33" t="s">
        <v>343</v>
      </c>
      <c r="AE305" s="34">
        <v>0</v>
      </c>
      <c r="AF305" s="71"/>
      <c r="AG305" s="36"/>
      <c r="AH305" s="67"/>
      <c r="AI305" s="36"/>
      <c r="AJ305" s="52">
        <f t="shared" si="9"/>
        <v>0</v>
      </c>
      <c r="AK305" s="34">
        <f t="shared" si="10"/>
        <v>0</v>
      </c>
    </row>
    <row r="306" spans="30:37" x14ac:dyDescent="0.3">
      <c r="AD306" s="33" t="s">
        <v>344</v>
      </c>
      <c r="AE306" s="34">
        <v>0</v>
      </c>
      <c r="AF306" s="71"/>
      <c r="AG306" s="36"/>
      <c r="AH306" s="67"/>
      <c r="AI306" s="36"/>
      <c r="AJ306" s="52">
        <f t="shared" si="9"/>
        <v>0</v>
      </c>
      <c r="AK306" s="34">
        <f t="shared" si="10"/>
        <v>0</v>
      </c>
    </row>
    <row r="307" spans="30:37" x14ac:dyDescent="0.3">
      <c r="AD307" s="33" t="s">
        <v>345</v>
      </c>
      <c r="AE307" s="34">
        <v>33.39</v>
      </c>
      <c r="AF307" s="71"/>
      <c r="AG307" s="36"/>
      <c r="AH307" s="67"/>
      <c r="AI307" s="36"/>
      <c r="AJ307" s="52">
        <f t="shared" si="9"/>
        <v>0</v>
      </c>
      <c r="AK307" s="34">
        <f t="shared" si="10"/>
        <v>0</v>
      </c>
    </row>
    <row r="308" spans="30:37" x14ac:dyDescent="0.3">
      <c r="AD308" s="41"/>
      <c r="AE308" s="34"/>
      <c r="AF308" s="71"/>
      <c r="AG308" s="36"/>
      <c r="AH308" s="67"/>
      <c r="AI308" s="36"/>
      <c r="AJ308" s="52">
        <f t="shared" si="9"/>
        <v>0</v>
      </c>
      <c r="AK308" s="34">
        <f t="shared" si="10"/>
        <v>0</v>
      </c>
    </row>
    <row r="309" spans="30:37" x14ac:dyDescent="0.3">
      <c r="AD309" s="33" t="s">
        <v>346</v>
      </c>
      <c r="AE309" s="34">
        <v>40.26</v>
      </c>
      <c r="AF309" s="71"/>
      <c r="AG309" s="36"/>
      <c r="AH309" s="67"/>
      <c r="AI309" s="36"/>
      <c r="AJ309" s="52">
        <f t="shared" si="9"/>
        <v>0</v>
      </c>
      <c r="AK309" s="34">
        <f t="shared" si="10"/>
        <v>0</v>
      </c>
    </row>
    <row r="310" spans="30:37" x14ac:dyDescent="0.3">
      <c r="AD310" s="33" t="s">
        <v>347</v>
      </c>
      <c r="AE310" s="34">
        <v>30</v>
      </c>
      <c r="AF310" s="71"/>
      <c r="AG310" s="36"/>
      <c r="AH310" s="67"/>
      <c r="AI310" s="36"/>
      <c r="AJ310" s="52">
        <f t="shared" si="9"/>
        <v>0</v>
      </c>
      <c r="AK310" s="34">
        <f t="shared" si="10"/>
        <v>0</v>
      </c>
    </row>
    <row r="311" spans="30:37" x14ac:dyDescent="0.3">
      <c r="AD311" s="33" t="s">
        <v>348</v>
      </c>
      <c r="AE311" s="34">
        <v>103</v>
      </c>
      <c r="AF311" s="71"/>
      <c r="AG311" s="36"/>
      <c r="AH311" s="67"/>
      <c r="AI311" s="36"/>
      <c r="AJ311" s="52">
        <f t="shared" si="9"/>
        <v>0</v>
      </c>
      <c r="AK311" s="34">
        <f t="shared" si="10"/>
        <v>0</v>
      </c>
    </row>
    <row r="312" spans="30:37" x14ac:dyDescent="0.3">
      <c r="AD312" s="33" t="s">
        <v>349</v>
      </c>
      <c r="AE312" s="34">
        <v>86.48</v>
      </c>
      <c r="AF312" s="71"/>
      <c r="AG312" s="36"/>
      <c r="AH312" s="67"/>
      <c r="AI312" s="36"/>
      <c r="AJ312" s="52">
        <f t="shared" si="9"/>
        <v>0</v>
      </c>
      <c r="AK312" s="34">
        <f t="shared" si="10"/>
        <v>0</v>
      </c>
    </row>
    <row r="313" spans="30:37" x14ac:dyDescent="0.3">
      <c r="AD313" s="33" t="s">
        <v>350</v>
      </c>
      <c r="AE313" s="34"/>
      <c r="AF313" s="71"/>
      <c r="AG313" s="36"/>
      <c r="AH313" s="67"/>
      <c r="AI313" s="36"/>
      <c r="AJ313" s="52">
        <f t="shared" si="9"/>
        <v>0</v>
      </c>
      <c r="AK313" s="34">
        <f t="shared" si="10"/>
        <v>0</v>
      </c>
    </row>
    <row r="314" spans="30:37" x14ac:dyDescent="0.3">
      <c r="AD314" s="33" t="s">
        <v>441</v>
      </c>
      <c r="AE314" s="34">
        <v>54.35</v>
      </c>
      <c r="AF314" s="71"/>
      <c r="AG314" s="36"/>
      <c r="AH314" s="67"/>
      <c r="AI314" s="36"/>
      <c r="AJ314" s="52">
        <f t="shared" si="9"/>
        <v>0</v>
      </c>
      <c r="AK314" s="34">
        <f t="shared" si="10"/>
        <v>0</v>
      </c>
    </row>
    <row r="315" spans="30:37" x14ac:dyDescent="0.3">
      <c r="AD315" s="41"/>
      <c r="AE315" s="34"/>
      <c r="AF315" s="71"/>
      <c r="AG315" s="36"/>
      <c r="AH315" s="67"/>
      <c r="AI315" s="36"/>
      <c r="AJ315" s="52">
        <f t="shared" si="9"/>
        <v>0</v>
      </c>
      <c r="AK315" s="34">
        <f t="shared" si="10"/>
        <v>0</v>
      </c>
    </row>
    <row r="316" spans="30:37" x14ac:dyDescent="0.3">
      <c r="AD316" s="33" t="s">
        <v>442</v>
      </c>
      <c r="AE316" s="34">
        <v>40</v>
      </c>
      <c r="AF316" s="71"/>
      <c r="AG316" s="36"/>
      <c r="AH316" s="67"/>
      <c r="AI316" s="36"/>
      <c r="AJ316" s="52">
        <f t="shared" si="9"/>
        <v>0</v>
      </c>
      <c r="AK316" s="34">
        <f t="shared" si="10"/>
        <v>0</v>
      </c>
    </row>
    <row r="317" spans="30:37" x14ac:dyDescent="0.3">
      <c r="AD317" s="33" t="s">
        <v>443</v>
      </c>
      <c r="AE317" s="34">
        <v>40</v>
      </c>
      <c r="AF317" s="71"/>
      <c r="AG317" s="36"/>
      <c r="AH317" s="67"/>
      <c r="AI317" s="36"/>
      <c r="AJ317" s="52">
        <f t="shared" si="9"/>
        <v>0</v>
      </c>
      <c r="AK317" s="34">
        <f t="shared" si="10"/>
        <v>0</v>
      </c>
    </row>
    <row r="318" spans="30:37" x14ac:dyDescent="0.3">
      <c r="AD318" s="33" t="s">
        <v>354</v>
      </c>
      <c r="AE318" s="34">
        <v>72</v>
      </c>
      <c r="AF318" s="71"/>
      <c r="AG318" s="36"/>
      <c r="AH318" s="67"/>
      <c r="AI318" s="36"/>
      <c r="AJ318" s="52">
        <f t="shared" si="9"/>
        <v>0</v>
      </c>
      <c r="AK318" s="34">
        <f t="shared" si="10"/>
        <v>0</v>
      </c>
    </row>
    <row r="319" spans="30:37" x14ac:dyDescent="0.3">
      <c r="AD319" s="41"/>
      <c r="AE319" s="34"/>
      <c r="AF319" s="71"/>
      <c r="AG319" s="36"/>
      <c r="AH319" s="67"/>
      <c r="AI319" s="36"/>
      <c r="AJ319" s="52">
        <f t="shared" si="9"/>
        <v>0</v>
      </c>
      <c r="AK319" s="34">
        <f t="shared" si="10"/>
        <v>0</v>
      </c>
    </row>
    <row r="320" spans="30:37" x14ac:dyDescent="0.3">
      <c r="AD320" s="33" t="s">
        <v>444</v>
      </c>
      <c r="AE320" s="34">
        <v>123</v>
      </c>
      <c r="AF320" s="71"/>
      <c r="AG320" s="36"/>
      <c r="AH320" s="67"/>
      <c r="AI320" s="36"/>
      <c r="AJ320" s="52">
        <f t="shared" si="9"/>
        <v>0</v>
      </c>
      <c r="AK320" s="34">
        <f t="shared" si="10"/>
        <v>0</v>
      </c>
    </row>
    <row r="321" spans="30:37" x14ac:dyDescent="0.3">
      <c r="AD321" s="41"/>
      <c r="AE321" s="34"/>
      <c r="AF321" s="71"/>
      <c r="AG321" s="36"/>
      <c r="AH321" s="67"/>
      <c r="AI321" s="36"/>
      <c r="AJ321" s="52">
        <f t="shared" si="9"/>
        <v>0</v>
      </c>
      <c r="AK321" s="34">
        <f t="shared" si="10"/>
        <v>0</v>
      </c>
    </row>
    <row r="322" spans="30:37" x14ac:dyDescent="0.3">
      <c r="AD322" s="33" t="s">
        <v>445</v>
      </c>
      <c r="AE322" s="34">
        <v>144.32</v>
      </c>
      <c r="AF322" s="71"/>
      <c r="AG322" s="36"/>
      <c r="AH322" s="67"/>
      <c r="AI322" s="36"/>
      <c r="AJ322" s="52">
        <f t="shared" si="9"/>
        <v>0</v>
      </c>
      <c r="AK322" s="34">
        <f t="shared" si="10"/>
        <v>0</v>
      </c>
    </row>
    <row r="323" spans="30:37" x14ac:dyDescent="0.3">
      <c r="AD323" s="33" t="s">
        <v>446</v>
      </c>
      <c r="AE323" s="34">
        <v>170</v>
      </c>
      <c r="AF323" s="71"/>
      <c r="AG323" s="36"/>
      <c r="AH323" s="67"/>
      <c r="AI323" s="36"/>
      <c r="AJ323" s="52">
        <f t="shared" si="9"/>
        <v>0</v>
      </c>
      <c r="AK323" s="34">
        <f t="shared" si="10"/>
        <v>0</v>
      </c>
    </row>
    <row r="324" spans="30:37" x14ac:dyDescent="0.3">
      <c r="AD324" s="33" t="s">
        <v>447</v>
      </c>
      <c r="AE324" s="34">
        <v>30</v>
      </c>
      <c r="AF324" s="71"/>
      <c r="AG324" s="36"/>
      <c r="AH324" s="67"/>
      <c r="AI324" s="36"/>
      <c r="AJ324" s="52">
        <f t="shared" si="9"/>
        <v>0</v>
      </c>
      <c r="AK324" s="34">
        <f t="shared" si="10"/>
        <v>0</v>
      </c>
    </row>
    <row r="325" spans="30:37" x14ac:dyDescent="0.3">
      <c r="AD325" s="33" t="s">
        <v>448</v>
      </c>
      <c r="AE325" s="34">
        <v>8</v>
      </c>
      <c r="AF325" s="71"/>
      <c r="AG325" s="36"/>
      <c r="AH325" s="67"/>
      <c r="AI325" s="36"/>
      <c r="AJ325" s="52">
        <f t="shared" si="9"/>
        <v>0</v>
      </c>
      <c r="AK325" s="34">
        <f t="shared" si="10"/>
        <v>0</v>
      </c>
    </row>
    <row r="326" spans="30:37" x14ac:dyDescent="0.3">
      <c r="AD326" s="33" t="s">
        <v>449</v>
      </c>
      <c r="AE326" s="34">
        <v>49.81</v>
      </c>
      <c r="AF326" s="71"/>
      <c r="AG326" s="36"/>
      <c r="AH326" s="67"/>
      <c r="AI326" s="36"/>
      <c r="AJ326" s="52">
        <f t="shared" si="9"/>
        <v>0</v>
      </c>
      <c r="AK326" s="34">
        <f t="shared" si="10"/>
        <v>0</v>
      </c>
    </row>
    <row r="327" spans="30:37" x14ac:dyDescent="0.3">
      <c r="AD327" s="41"/>
      <c r="AE327" s="34"/>
      <c r="AF327" s="71"/>
      <c r="AG327" s="36"/>
      <c r="AH327" s="67"/>
      <c r="AI327" s="36"/>
      <c r="AJ327" s="52">
        <f t="shared" si="9"/>
        <v>0</v>
      </c>
      <c r="AK327" s="34">
        <f t="shared" si="10"/>
        <v>0</v>
      </c>
    </row>
    <row r="328" spans="30:37" x14ac:dyDescent="0.3">
      <c r="AD328" s="33" t="s">
        <v>450</v>
      </c>
      <c r="AE328" s="34">
        <v>66.25</v>
      </c>
      <c r="AF328" s="71"/>
      <c r="AG328" s="36"/>
      <c r="AH328" s="67"/>
      <c r="AI328" s="36"/>
      <c r="AJ328" s="52">
        <f t="shared" si="9"/>
        <v>0</v>
      </c>
      <c r="AK328" s="34">
        <f t="shared" si="10"/>
        <v>0</v>
      </c>
    </row>
    <row r="329" spans="30:37" x14ac:dyDescent="0.3">
      <c r="AD329" s="33" t="s">
        <v>451</v>
      </c>
      <c r="AE329" s="34">
        <v>26.84</v>
      </c>
      <c r="AF329" s="71"/>
      <c r="AG329" s="36"/>
      <c r="AH329" s="67"/>
      <c r="AI329" s="36"/>
      <c r="AJ329" s="52">
        <f t="shared" si="9"/>
        <v>0</v>
      </c>
      <c r="AK329" s="34">
        <f t="shared" si="10"/>
        <v>0</v>
      </c>
    </row>
    <row r="330" spans="30:37" x14ac:dyDescent="0.3">
      <c r="AD330" s="41"/>
      <c r="AE330" s="34"/>
      <c r="AF330" s="71"/>
      <c r="AG330" s="36"/>
      <c r="AH330" s="67"/>
      <c r="AI330" s="36"/>
      <c r="AJ330" s="52">
        <f t="shared" ref="AJ330:AJ370" si="11">SUM(AG330*AE330)</f>
        <v>0</v>
      </c>
      <c r="AK330" s="34">
        <f t="shared" si="10"/>
        <v>0</v>
      </c>
    </row>
    <row r="331" spans="30:37" x14ac:dyDescent="0.3">
      <c r="AD331" s="33" t="s">
        <v>452</v>
      </c>
      <c r="AE331" s="34">
        <v>20.13</v>
      </c>
      <c r="AF331" s="71"/>
      <c r="AG331" s="36"/>
      <c r="AH331" s="67"/>
      <c r="AI331" s="36"/>
      <c r="AJ331" s="52">
        <f t="shared" si="11"/>
        <v>0</v>
      </c>
      <c r="AK331" s="34">
        <f t="shared" ref="AK331:AK370" si="12">SUM(AE331*AF331)</f>
        <v>0</v>
      </c>
    </row>
    <row r="332" spans="30:37" x14ac:dyDescent="0.3">
      <c r="AD332" s="33" t="s">
        <v>453</v>
      </c>
      <c r="AE332" s="34">
        <v>90.34</v>
      </c>
      <c r="AF332" s="71"/>
      <c r="AG332" s="36"/>
      <c r="AH332" s="67"/>
      <c r="AI332" s="36"/>
      <c r="AJ332" s="52">
        <f t="shared" si="11"/>
        <v>0</v>
      </c>
      <c r="AK332" s="34">
        <f t="shared" si="12"/>
        <v>0</v>
      </c>
    </row>
    <row r="333" spans="30:37" x14ac:dyDescent="0.3">
      <c r="AD333" s="33" t="s">
        <v>454</v>
      </c>
      <c r="AE333" s="34">
        <v>72.27</v>
      </c>
      <c r="AF333" s="71"/>
      <c r="AG333" s="36"/>
      <c r="AH333" s="67"/>
      <c r="AI333" s="36"/>
      <c r="AJ333" s="52">
        <f t="shared" si="11"/>
        <v>0</v>
      </c>
      <c r="AK333" s="34">
        <f t="shared" si="12"/>
        <v>0</v>
      </c>
    </row>
    <row r="334" spans="30:37" x14ac:dyDescent="0.3">
      <c r="AD334" s="33" t="s">
        <v>455</v>
      </c>
      <c r="AE334" s="34">
        <v>108.41</v>
      </c>
      <c r="AF334" s="71"/>
      <c r="AG334" s="36"/>
      <c r="AH334" s="67"/>
      <c r="AI334" s="36"/>
      <c r="AJ334" s="52">
        <f t="shared" si="11"/>
        <v>0</v>
      </c>
      <c r="AK334" s="34">
        <f t="shared" si="12"/>
        <v>0</v>
      </c>
    </row>
    <row r="335" spans="30:37" x14ac:dyDescent="0.3">
      <c r="AD335" s="41"/>
      <c r="AE335" s="34"/>
      <c r="AF335" s="71"/>
      <c r="AG335" s="36"/>
      <c r="AH335" s="67"/>
      <c r="AI335" s="36"/>
      <c r="AJ335" s="52">
        <f t="shared" si="11"/>
        <v>0</v>
      </c>
      <c r="AK335" s="34">
        <f t="shared" si="12"/>
        <v>0</v>
      </c>
    </row>
    <row r="336" spans="30:37" x14ac:dyDescent="0.3">
      <c r="AD336" s="33" t="s">
        <v>361</v>
      </c>
      <c r="AE336" s="34">
        <v>19</v>
      </c>
      <c r="AF336" s="71"/>
      <c r="AG336" s="36"/>
      <c r="AH336" s="67"/>
      <c r="AI336" s="36"/>
      <c r="AJ336" s="52">
        <f t="shared" si="11"/>
        <v>0</v>
      </c>
      <c r="AK336" s="34">
        <f t="shared" si="12"/>
        <v>0</v>
      </c>
    </row>
    <row r="337" spans="30:37" x14ac:dyDescent="0.3">
      <c r="AD337" s="33" t="s">
        <v>362</v>
      </c>
      <c r="AE337" s="34">
        <v>22.21</v>
      </c>
      <c r="AF337" s="71"/>
      <c r="AG337" s="36"/>
      <c r="AH337" s="67"/>
      <c r="AI337" s="36"/>
      <c r="AJ337" s="52">
        <f t="shared" si="11"/>
        <v>0</v>
      </c>
      <c r="AK337" s="34">
        <f t="shared" si="12"/>
        <v>0</v>
      </c>
    </row>
    <row r="338" spans="30:37" x14ac:dyDescent="0.3">
      <c r="AD338" s="33" t="s">
        <v>456</v>
      </c>
      <c r="AE338" s="34">
        <v>5</v>
      </c>
      <c r="AF338" s="71"/>
      <c r="AG338" s="36"/>
      <c r="AH338" s="67"/>
      <c r="AI338" s="36"/>
      <c r="AJ338" s="52">
        <f t="shared" si="11"/>
        <v>0</v>
      </c>
      <c r="AK338" s="34">
        <f t="shared" si="12"/>
        <v>0</v>
      </c>
    </row>
    <row r="339" spans="30:37" x14ac:dyDescent="0.3">
      <c r="AD339" s="33" t="s">
        <v>457</v>
      </c>
      <c r="AE339" s="34">
        <v>6</v>
      </c>
      <c r="AF339" s="71"/>
      <c r="AG339" s="36"/>
      <c r="AH339" s="67"/>
      <c r="AI339" s="36"/>
      <c r="AJ339" s="52">
        <f t="shared" si="11"/>
        <v>0</v>
      </c>
      <c r="AK339" s="34">
        <f t="shared" si="12"/>
        <v>0</v>
      </c>
    </row>
    <row r="340" spans="30:37" x14ac:dyDescent="0.3">
      <c r="AD340" s="41"/>
      <c r="AE340" s="34"/>
      <c r="AF340" s="71"/>
      <c r="AG340" s="36"/>
      <c r="AH340" s="67"/>
      <c r="AI340" s="36"/>
      <c r="AJ340" s="52">
        <f t="shared" si="11"/>
        <v>0</v>
      </c>
      <c r="AK340" s="34">
        <f t="shared" si="12"/>
        <v>0</v>
      </c>
    </row>
    <row r="341" spans="30:37" x14ac:dyDescent="0.3">
      <c r="AD341" s="33" t="s">
        <v>365</v>
      </c>
      <c r="AE341" s="34"/>
      <c r="AF341" s="71"/>
      <c r="AG341" s="36"/>
      <c r="AH341" s="67"/>
      <c r="AI341" s="36"/>
      <c r="AJ341" s="52">
        <f t="shared" si="11"/>
        <v>0</v>
      </c>
      <c r="AK341" s="34">
        <f t="shared" si="12"/>
        <v>0</v>
      </c>
    </row>
    <row r="342" spans="30:37" x14ac:dyDescent="0.3">
      <c r="AD342" s="33" t="s">
        <v>366</v>
      </c>
      <c r="AE342" s="34"/>
      <c r="AF342" s="71"/>
      <c r="AG342" s="36"/>
      <c r="AH342" s="67"/>
      <c r="AI342" s="36"/>
      <c r="AJ342" s="52">
        <f t="shared" si="11"/>
        <v>0</v>
      </c>
      <c r="AK342" s="34">
        <f t="shared" si="12"/>
        <v>0</v>
      </c>
    </row>
    <row r="343" spans="30:37" x14ac:dyDescent="0.3">
      <c r="AD343" s="41"/>
      <c r="AE343" s="34"/>
      <c r="AF343" s="71"/>
      <c r="AG343" s="36"/>
      <c r="AH343" s="67"/>
      <c r="AI343" s="36"/>
      <c r="AJ343" s="52">
        <f t="shared" si="11"/>
        <v>0</v>
      </c>
      <c r="AK343" s="34">
        <f t="shared" si="12"/>
        <v>0</v>
      </c>
    </row>
    <row r="344" spans="30:37" x14ac:dyDescent="0.3">
      <c r="AD344" s="33" t="s">
        <v>458</v>
      </c>
      <c r="AE344" s="34">
        <v>46</v>
      </c>
      <c r="AF344" s="71"/>
      <c r="AG344" s="36"/>
      <c r="AH344" s="67"/>
      <c r="AI344" s="36"/>
      <c r="AJ344" s="52">
        <f t="shared" si="11"/>
        <v>0</v>
      </c>
      <c r="AK344" s="34">
        <f t="shared" si="12"/>
        <v>0</v>
      </c>
    </row>
    <row r="345" spans="30:37" x14ac:dyDescent="0.3">
      <c r="AD345" s="33" t="s">
        <v>459</v>
      </c>
      <c r="AE345" s="34">
        <v>5.03</v>
      </c>
      <c r="AF345" s="71"/>
      <c r="AG345" s="36"/>
      <c r="AH345" s="67"/>
      <c r="AI345" s="36"/>
      <c r="AJ345" s="52">
        <f t="shared" si="11"/>
        <v>0</v>
      </c>
      <c r="AK345" s="34">
        <f t="shared" si="12"/>
        <v>0</v>
      </c>
    </row>
    <row r="346" spans="30:37" x14ac:dyDescent="0.3">
      <c r="AD346" s="41"/>
      <c r="AE346" s="34"/>
      <c r="AF346" s="71"/>
      <c r="AG346" s="36"/>
      <c r="AH346" s="67"/>
      <c r="AI346" s="36"/>
      <c r="AJ346" s="52">
        <f t="shared" si="11"/>
        <v>0</v>
      </c>
      <c r="AK346" s="34">
        <f t="shared" si="12"/>
        <v>0</v>
      </c>
    </row>
    <row r="347" spans="30:37" x14ac:dyDescent="0.3">
      <c r="AD347" s="33" t="s">
        <v>460</v>
      </c>
      <c r="AE347" s="34">
        <v>40</v>
      </c>
      <c r="AF347" s="71"/>
      <c r="AG347" s="36"/>
      <c r="AH347" s="67"/>
      <c r="AI347" s="36"/>
      <c r="AJ347" s="52">
        <f t="shared" si="11"/>
        <v>0</v>
      </c>
      <c r="AK347" s="34">
        <f t="shared" si="12"/>
        <v>0</v>
      </c>
    </row>
    <row r="348" spans="30:37" x14ac:dyDescent="0.3">
      <c r="AD348" s="33" t="s">
        <v>461</v>
      </c>
      <c r="AE348" s="34">
        <v>15</v>
      </c>
      <c r="AF348" s="71"/>
      <c r="AG348" s="36"/>
      <c r="AH348" s="67"/>
      <c r="AI348" s="36"/>
      <c r="AJ348" s="52">
        <f t="shared" si="11"/>
        <v>0</v>
      </c>
      <c r="AK348" s="34">
        <f t="shared" si="12"/>
        <v>0</v>
      </c>
    </row>
    <row r="349" spans="30:37" x14ac:dyDescent="0.3">
      <c r="AD349" s="33" t="s">
        <v>368</v>
      </c>
      <c r="AE349" s="34">
        <v>15</v>
      </c>
      <c r="AF349" s="71"/>
      <c r="AG349" s="36"/>
      <c r="AH349" s="67"/>
      <c r="AI349" s="36"/>
      <c r="AJ349" s="52">
        <f t="shared" si="11"/>
        <v>0</v>
      </c>
      <c r="AK349" s="34">
        <f t="shared" si="12"/>
        <v>0</v>
      </c>
    </row>
    <row r="350" spans="30:37" x14ac:dyDescent="0.3">
      <c r="AD350" s="41"/>
      <c r="AE350" s="34"/>
      <c r="AF350" s="71"/>
      <c r="AG350" s="36"/>
      <c r="AH350" s="67"/>
      <c r="AI350" s="36"/>
      <c r="AJ350" s="52">
        <f t="shared" si="11"/>
        <v>0</v>
      </c>
      <c r="AK350" s="34">
        <f t="shared" si="12"/>
        <v>0</v>
      </c>
    </row>
    <row r="351" spans="30:37" x14ac:dyDescent="0.3">
      <c r="AD351" s="33" t="s">
        <v>355</v>
      </c>
      <c r="AE351" s="34">
        <v>114.7</v>
      </c>
      <c r="AF351" s="71"/>
      <c r="AG351" s="36"/>
      <c r="AH351" s="67"/>
      <c r="AI351" s="36"/>
      <c r="AJ351" s="52">
        <f t="shared" si="11"/>
        <v>0</v>
      </c>
      <c r="AK351" s="34">
        <f t="shared" si="12"/>
        <v>0</v>
      </c>
    </row>
    <row r="352" spans="30:37" x14ac:dyDescent="0.3">
      <c r="AD352" s="33" t="s">
        <v>356</v>
      </c>
      <c r="AE352" s="34">
        <v>6</v>
      </c>
      <c r="AF352" s="71"/>
      <c r="AG352" s="36"/>
      <c r="AH352" s="67"/>
      <c r="AI352" s="36"/>
      <c r="AJ352" s="52">
        <f t="shared" si="11"/>
        <v>0</v>
      </c>
      <c r="AK352" s="34">
        <f t="shared" si="12"/>
        <v>0</v>
      </c>
    </row>
    <row r="353" spans="30:37" x14ac:dyDescent="0.3">
      <c r="AD353" s="33" t="s">
        <v>357</v>
      </c>
      <c r="AE353" s="34">
        <v>11</v>
      </c>
      <c r="AF353" s="71"/>
      <c r="AG353" s="36"/>
      <c r="AH353" s="67"/>
      <c r="AI353" s="36"/>
      <c r="AJ353" s="52">
        <f t="shared" si="11"/>
        <v>0</v>
      </c>
      <c r="AK353" s="34">
        <f t="shared" si="12"/>
        <v>0</v>
      </c>
    </row>
    <row r="354" spans="30:37" x14ac:dyDescent="0.3">
      <c r="AD354" s="33" t="s">
        <v>358</v>
      </c>
      <c r="AE354" s="34">
        <v>16.5</v>
      </c>
      <c r="AF354" s="71"/>
      <c r="AG354" s="36"/>
      <c r="AH354" s="67"/>
      <c r="AI354" s="36"/>
      <c r="AJ354" s="52">
        <f t="shared" si="11"/>
        <v>0</v>
      </c>
      <c r="AK354" s="34">
        <f t="shared" si="12"/>
        <v>0</v>
      </c>
    </row>
    <row r="355" spans="30:37" x14ac:dyDescent="0.3">
      <c r="AD355" s="33" t="s">
        <v>359</v>
      </c>
      <c r="AE355" s="34">
        <v>26.84</v>
      </c>
      <c r="AF355" s="71"/>
      <c r="AG355" s="36"/>
      <c r="AH355" s="67"/>
      <c r="AI355" s="36"/>
      <c r="AJ355" s="52">
        <f t="shared" si="11"/>
        <v>0</v>
      </c>
      <c r="AK355" s="34">
        <f t="shared" si="12"/>
        <v>0</v>
      </c>
    </row>
    <row r="356" spans="30:37" x14ac:dyDescent="0.3">
      <c r="AD356" s="33" t="s">
        <v>360</v>
      </c>
      <c r="AE356" s="34">
        <v>15.95</v>
      </c>
      <c r="AF356" s="71"/>
      <c r="AG356" s="36"/>
      <c r="AH356" s="67"/>
      <c r="AI356" s="36"/>
      <c r="AJ356" s="52">
        <f t="shared" si="11"/>
        <v>0</v>
      </c>
      <c r="AK356" s="34">
        <f t="shared" si="12"/>
        <v>0</v>
      </c>
    </row>
    <row r="357" spans="30:37" x14ac:dyDescent="0.3">
      <c r="AD357" s="33" t="s">
        <v>462</v>
      </c>
      <c r="AE357" s="34">
        <v>35</v>
      </c>
      <c r="AF357" s="71"/>
      <c r="AG357" s="36"/>
      <c r="AH357" s="67"/>
      <c r="AI357" s="36"/>
      <c r="AJ357" s="52">
        <f t="shared" si="11"/>
        <v>0</v>
      </c>
      <c r="AK357" s="34">
        <f t="shared" si="12"/>
        <v>0</v>
      </c>
    </row>
    <row r="358" spans="30:37" x14ac:dyDescent="0.3">
      <c r="AD358" s="33" t="s">
        <v>369</v>
      </c>
      <c r="AE358" s="34">
        <v>5</v>
      </c>
      <c r="AF358" s="71"/>
      <c r="AG358" s="36"/>
      <c r="AH358" s="67"/>
      <c r="AI358" s="36"/>
      <c r="AJ358" s="52">
        <f t="shared" si="11"/>
        <v>0</v>
      </c>
      <c r="AK358" s="34">
        <f t="shared" si="12"/>
        <v>0</v>
      </c>
    </row>
    <row r="359" spans="30:37" x14ac:dyDescent="0.3">
      <c r="AD359" s="41"/>
      <c r="AE359" s="34"/>
      <c r="AF359" s="71"/>
      <c r="AG359" s="36"/>
      <c r="AH359" s="67"/>
      <c r="AI359" s="36"/>
      <c r="AJ359" s="52">
        <f t="shared" si="11"/>
        <v>0</v>
      </c>
      <c r="AK359" s="34">
        <f t="shared" si="12"/>
        <v>0</v>
      </c>
    </row>
    <row r="360" spans="30:37" x14ac:dyDescent="0.3">
      <c r="AD360" s="33" t="s">
        <v>370</v>
      </c>
      <c r="AE360" s="34">
        <v>28.5</v>
      </c>
      <c r="AF360" s="71"/>
      <c r="AG360" s="36"/>
      <c r="AH360" s="67"/>
      <c r="AI360" s="36"/>
      <c r="AJ360" s="52">
        <f t="shared" si="11"/>
        <v>0</v>
      </c>
      <c r="AK360" s="34">
        <f t="shared" si="12"/>
        <v>0</v>
      </c>
    </row>
    <row r="361" spans="30:37" x14ac:dyDescent="0.3">
      <c r="AD361" s="33" t="s">
        <v>371</v>
      </c>
      <c r="AE361" s="34">
        <v>28.5</v>
      </c>
      <c r="AF361" s="71"/>
      <c r="AG361" s="36"/>
      <c r="AH361" s="67"/>
      <c r="AI361" s="36"/>
      <c r="AJ361" s="52">
        <f t="shared" si="11"/>
        <v>0</v>
      </c>
      <c r="AK361" s="34">
        <f t="shared" si="12"/>
        <v>0</v>
      </c>
    </row>
    <row r="362" spans="30:37" x14ac:dyDescent="0.3">
      <c r="AD362" s="33" t="s">
        <v>463</v>
      </c>
      <c r="AE362" s="34">
        <v>50</v>
      </c>
      <c r="AF362" s="71"/>
      <c r="AG362" s="36"/>
      <c r="AH362" s="67"/>
      <c r="AI362" s="36"/>
      <c r="AJ362" s="52">
        <f t="shared" si="11"/>
        <v>0</v>
      </c>
      <c r="AK362" s="34">
        <f t="shared" si="12"/>
        <v>0</v>
      </c>
    </row>
    <row r="363" spans="30:37" x14ac:dyDescent="0.3">
      <c r="AD363" s="33" t="s">
        <v>464</v>
      </c>
      <c r="AE363" s="34">
        <v>50</v>
      </c>
      <c r="AF363" s="71"/>
      <c r="AG363" s="36"/>
      <c r="AH363" s="67"/>
      <c r="AI363" s="36"/>
      <c r="AJ363" s="52">
        <f t="shared" si="11"/>
        <v>0</v>
      </c>
      <c r="AK363" s="34">
        <f t="shared" si="12"/>
        <v>0</v>
      </c>
    </row>
    <row r="364" spans="30:37" x14ac:dyDescent="0.3">
      <c r="AD364" s="33"/>
      <c r="AE364" s="34"/>
      <c r="AF364" s="71"/>
      <c r="AG364" s="36"/>
      <c r="AH364" s="67"/>
      <c r="AI364" s="36"/>
      <c r="AJ364" s="52">
        <f t="shared" si="11"/>
        <v>0</v>
      </c>
      <c r="AK364" s="34">
        <f t="shared" si="12"/>
        <v>0</v>
      </c>
    </row>
    <row r="365" spans="30:37" x14ac:dyDescent="0.3">
      <c r="AD365" s="33" t="s">
        <v>372</v>
      </c>
      <c r="AE365" s="34">
        <v>50</v>
      </c>
      <c r="AF365" s="71"/>
      <c r="AG365" s="36"/>
      <c r="AH365" s="67"/>
      <c r="AI365" s="36"/>
      <c r="AJ365" s="52">
        <f t="shared" si="11"/>
        <v>0</v>
      </c>
      <c r="AK365" s="34">
        <f t="shared" si="12"/>
        <v>0</v>
      </c>
    </row>
    <row r="366" spans="30:37" x14ac:dyDescent="0.3">
      <c r="AD366" s="1"/>
      <c r="AE366" s="57"/>
      <c r="AF366" s="74"/>
      <c r="AG366" s="36"/>
      <c r="AH366" s="67"/>
      <c r="AI366" s="36"/>
      <c r="AJ366" s="52">
        <f t="shared" si="11"/>
        <v>0</v>
      </c>
      <c r="AK366" s="34">
        <f t="shared" si="12"/>
        <v>0</v>
      </c>
    </row>
    <row r="367" spans="30:37" x14ac:dyDescent="0.3">
      <c r="AD367" s="56" t="s">
        <v>465</v>
      </c>
      <c r="AE367" s="58">
        <v>0.2</v>
      </c>
      <c r="AF367" s="74"/>
      <c r="AG367" s="36"/>
      <c r="AH367" s="67"/>
      <c r="AI367" s="36"/>
      <c r="AJ367" s="52">
        <f t="shared" si="11"/>
        <v>0</v>
      </c>
      <c r="AK367" s="34">
        <f t="shared" si="12"/>
        <v>0</v>
      </c>
    </row>
    <row r="368" spans="30:37" x14ac:dyDescent="0.3">
      <c r="AD368" s="56" t="s">
        <v>466</v>
      </c>
      <c r="AE368" s="58">
        <v>0.2</v>
      </c>
      <c r="AF368" s="74"/>
      <c r="AG368" s="36"/>
      <c r="AH368" s="67"/>
      <c r="AI368" s="36"/>
      <c r="AJ368" s="52">
        <f t="shared" si="11"/>
        <v>0</v>
      </c>
      <c r="AK368" s="34">
        <f t="shared" si="12"/>
        <v>0</v>
      </c>
    </row>
    <row r="369" spans="30:37" x14ac:dyDescent="0.3">
      <c r="AD369" s="56" t="s">
        <v>467</v>
      </c>
      <c r="AE369" s="58">
        <v>0.5</v>
      </c>
      <c r="AF369" s="74"/>
      <c r="AG369" s="36"/>
      <c r="AH369" s="67"/>
      <c r="AI369" s="36"/>
      <c r="AJ369" s="52">
        <f t="shared" si="11"/>
        <v>0</v>
      </c>
      <c r="AK369" s="34">
        <f t="shared" si="12"/>
        <v>0</v>
      </c>
    </row>
    <row r="370" spans="30:37" x14ac:dyDescent="0.3">
      <c r="AD370" s="56" t="s">
        <v>468</v>
      </c>
      <c r="AE370" s="58">
        <v>0.5</v>
      </c>
      <c r="AF370" s="74"/>
      <c r="AG370" s="36"/>
      <c r="AH370" s="67"/>
      <c r="AI370" s="36"/>
      <c r="AJ370" s="52">
        <f t="shared" si="11"/>
        <v>0</v>
      </c>
      <c r="AK370" s="34">
        <f t="shared" si="12"/>
        <v>0</v>
      </c>
    </row>
  </sheetData>
  <mergeCells count="36">
    <mergeCell ref="G22:I22"/>
    <mergeCell ref="G23:I23"/>
    <mergeCell ref="G24:I24"/>
    <mergeCell ref="G25:I25"/>
    <mergeCell ref="G26:I26"/>
    <mergeCell ref="C2:D3"/>
    <mergeCell ref="F8:N8"/>
    <mergeCell ref="E12:G12"/>
    <mergeCell ref="K13:M13"/>
    <mergeCell ref="E15:G15"/>
    <mergeCell ref="H15:J15"/>
    <mergeCell ref="K15:M15"/>
    <mergeCell ref="N15:P15"/>
    <mergeCell ref="C8:E8"/>
    <mergeCell ref="E11:G11"/>
    <mergeCell ref="H11:J11"/>
    <mergeCell ref="K11:M11"/>
    <mergeCell ref="N11:P11"/>
    <mergeCell ref="K2:R3"/>
    <mergeCell ref="E14:G14"/>
    <mergeCell ref="H14:J14"/>
    <mergeCell ref="K14:M14"/>
    <mergeCell ref="N14:P14"/>
    <mergeCell ref="F3:I3"/>
    <mergeCell ref="E13:G13"/>
    <mergeCell ref="T8:Y8"/>
    <mergeCell ref="K12:M12"/>
    <mergeCell ref="H13:J13"/>
    <mergeCell ref="N13:P13"/>
    <mergeCell ref="N12:P12"/>
    <mergeCell ref="H12:J12"/>
    <mergeCell ref="C22:F22"/>
    <mergeCell ref="C23:F23"/>
    <mergeCell ref="C24:F24"/>
    <mergeCell ref="C25:F25"/>
    <mergeCell ref="C26:F26"/>
  </mergeCells>
  <dataValidations count="1">
    <dataValidation type="list" allowBlank="1" showInputMessage="1" showErrorMessage="1" sqref="AH10:AH356" xr:uid="{00000000-0002-0000-0100-000000000000}">
      <formula1>$AN$10:$AN$15</formula1>
    </dataValidation>
  </dataValidations>
  <pageMargins left="0" right="0" top="0" bottom="0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0">
              <controlPr defaultSize="0" print="0" autoFill="0" autoPict="0" macro="[0]!mesecno_porocilo.mesecno_porocilo">
                <anchor moveWithCells="1" sizeWithCells="1">
                  <from>
                    <xdr:col>29</xdr:col>
                    <xdr:colOff>1165860</xdr:colOff>
                    <xdr:row>1</xdr:row>
                    <xdr:rowOff>137160</xdr:rowOff>
                  </from>
                  <to>
                    <xdr:col>29</xdr:col>
                    <xdr:colOff>2316480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shrani_nalog.shrani_nalog">
                <anchor moveWithCells="1" sizeWithCells="1">
                  <from>
                    <xdr:col>28</xdr:col>
                    <xdr:colOff>411480</xdr:colOff>
                    <xdr:row>1</xdr:row>
                    <xdr:rowOff>137160</xdr:rowOff>
                  </from>
                  <to>
                    <xdr:col>29</xdr:col>
                    <xdr:colOff>1104900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Data!$J$2:$J$7</xm:f>
          </x14:formula1>
          <xm:sqref>C22:C26</xm:sqref>
        </x14:dataValidation>
        <x14:dataValidation type="list" allowBlank="1" showInputMessage="1" showErrorMessage="1" xr:uid="{00000000-0002-0000-0100-000002000000}">
          <x14:formula1>
            <xm:f>Data!$F$2:$F$17</xm:f>
          </x14:formula1>
          <xm:sqref>E12:G15</xm:sqref>
        </x14:dataValidation>
        <x14:dataValidation type="list" allowBlank="1" showInputMessage="1" showErrorMessage="1" xr:uid="{00000000-0002-0000-0100-000003000000}">
          <x14:formula1>
            <xm:f>Data!$H$2:$H$11</xm:f>
          </x14:formula1>
          <xm:sqref>H12:J15</xm:sqref>
        </x14:dataValidation>
        <x14:dataValidation type="list" allowBlank="1" showInputMessage="1" showErrorMessage="1" xr:uid="{00000000-0002-0000-0100-000004000000}">
          <x14:formula1>
            <xm:f>Data!$G$2:$G$7</xm:f>
          </x14:formula1>
          <xm:sqref>K12:M15</xm:sqref>
        </x14:dataValidation>
        <x14:dataValidation type="list" allowBlank="1" showInputMessage="1" showErrorMessage="1" xr:uid="{00000000-0002-0000-0100-000005000000}">
          <x14:formula1>
            <xm:f>Data!$I$2:$I$7</xm:f>
          </x14:formula1>
          <xm:sqref>N12:P12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B1:D411"/>
  <sheetViews>
    <sheetView workbookViewId="0">
      <selection activeCell="E10" sqref="E10"/>
    </sheetView>
  </sheetViews>
  <sheetFormatPr defaultRowHeight="14.4" x14ac:dyDescent="0.3"/>
  <cols>
    <col min="1" max="1" width="3.33203125" customWidth="1"/>
    <col min="2" max="2" width="39.6640625" customWidth="1"/>
    <col min="3" max="3" width="12.33203125" customWidth="1"/>
  </cols>
  <sheetData>
    <row r="1" spans="2:4" ht="29.4" customHeight="1" x14ac:dyDescent="0.3"/>
    <row r="2" spans="2:4" s="1" customFormat="1" ht="15.6" x14ac:dyDescent="0.3">
      <c r="B2" s="43" t="s">
        <v>469</v>
      </c>
      <c r="C2" s="43" t="s">
        <v>470</v>
      </c>
    </row>
    <row r="3" spans="2:4" x14ac:dyDescent="0.3">
      <c r="B3" s="33" t="s">
        <v>182</v>
      </c>
      <c r="C3" s="34">
        <v>20</v>
      </c>
      <c r="D3" s="59"/>
    </row>
    <row r="4" spans="2:4" x14ac:dyDescent="0.3">
      <c r="B4" s="35" t="s">
        <v>183</v>
      </c>
      <c r="C4" s="52">
        <v>12</v>
      </c>
      <c r="D4" s="59"/>
    </row>
    <row r="5" spans="2:4" x14ac:dyDescent="0.3">
      <c r="B5" s="35" t="s">
        <v>184</v>
      </c>
      <c r="C5" s="52">
        <v>8</v>
      </c>
      <c r="D5" s="59"/>
    </row>
    <row r="6" spans="2:4" x14ac:dyDescent="0.3">
      <c r="B6" s="36" t="s">
        <v>378</v>
      </c>
      <c r="C6" s="52">
        <v>1</v>
      </c>
      <c r="D6" s="23"/>
    </row>
    <row r="7" spans="2:4" x14ac:dyDescent="0.3">
      <c r="B7" s="36" t="s">
        <v>379</v>
      </c>
      <c r="C7" s="52">
        <v>12</v>
      </c>
      <c r="D7" s="23"/>
    </row>
    <row r="8" spans="2:4" x14ac:dyDescent="0.3">
      <c r="B8" s="36" t="s">
        <v>380</v>
      </c>
      <c r="C8" s="52">
        <v>15</v>
      </c>
      <c r="D8" s="23"/>
    </row>
    <row r="9" spans="2:4" x14ac:dyDescent="0.3">
      <c r="B9" s="36" t="s">
        <v>381</v>
      </c>
      <c r="C9" s="52">
        <v>15</v>
      </c>
      <c r="D9" s="23"/>
    </row>
    <row r="10" spans="2:4" x14ac:dyDescent="0.3">
      <c r="B10" s="36" t="s">
        <v>382</v>
      </c>
      <c r="C10" s="52">
        <v>10</v>
      </c>
      <c r="D10" s="23"/>
    </row>
    <row r="11" spans="2:4" x14ac:dyDescent="0.3">
      <c r="B11" s="36" t="s">
        <v>383</v>
      </c>
      <c r="C11" s="52">
        <v>52</v>
      </c>
      <c r="D11" s="23"/>
    </row>
    <row r="12" spans="2:4" x14ac:dyDescent="0.3">
      <c r="B12" s="37"/>
      <c r="C12" s="34"/>
      <c r="D12" s="23"/>
    </row>
    <row r="13" spans="2:4" x14ac:dyDescent="0.3">
      <c r="B13" s="37"/>
      <c r="C13" s="34"/>
      <c r="D13" s="23"/>
    </row>
    <row r="14" spans="2:4" x14ac:dyDescent="0.3">
      <c r="B14" s="33" t="s">
        <v>185</v>
      </c>
      <c r="C14" s="34">
        <v>8</v>
      </c>
      <c r="D14" s="59"/>
    </row>
    <row r="15" spans="2:4" x14ac:dyDescent="0.3">
      <c r="B15" s="33" t="s">
        <v>186</v>
      </c>
      <c r="C15" s="34">
        <v>15</v>
      </c>
      <c r="D15" s="59"/>
    </row>
    <row r="16" spans="2:4" x14ac:dyDescent="0.3">
      <c r="B16" s="33" t="s">
        <v>187</v>
      </c>
      <c r="C16" s="34">
        <v>7</v>
      </c>
      <c r="D16" s="59"/>
    </row>
    <row r="17" spans="2:4" x14ac:dyDescent="0.3">
      <c r="B17" s="33" t="s">
        <v>188</v>
      </c>
      <c r="C17" s="34">
        <v>5</v>
      </c>
      <c r="D17" s="59"/>
    </row>
    <row r="18" spans="2:4" x14ac:dyDescent="0.3">
      <c r="B18" s="33" t="s">
        <v>189</v>
      </c>
      <c r="C18" s="34">
        <v>7</v>
      </c>
      <c r="D18" s="59"/>
    </row>
    <row r="19" spans="2:4" x14ac:dyDescent="0.3">
      <c r="B19" s="33" t="s">
        <v>190</v>
      </c>
      <c r="C19" s="34">
        <v>29</v>
      </c>
      <c r="D19" s="59"/>
    </row>
    <row r="20" spans="2:4" x14ac:dyDescent="0.3">
      <c r="B20" s="33" t="s">
        <v>191</v>
      </c>
      <c r="C20" s="34">
        <v>22</v>
      </c>
      <c r="D20" s="59"/>
    </row>
    <row r="21" spans="2:4" x14ac:dyDescent="0.3">
      <c r="B21" s="33" t="s">
        <v>192</v>
      </c>
      <c r="C21" s="34">
        <v>8</v>
      </c>
      <c r="D21" s="59"/>
    </row>
    <row r="22" spans="2:4" x14ac:dyDescent="0.3">
      <c r="B22" s="33" t="s">
        <v>193</v>
      </c>
      <c r="C22" s="34">
        <v>8</v>
      </c>
      <c r="D22" s="59"/>
    </row>
    <row r="23" spans="2:4" x14ac:dyDescent="0.3">
      <c r="B23" s="33" t="s">
        <v>194</v>
      </c>
      <c r="C23" s="34">
        <v>8</v>
      </c>
      <c r="D23" s="59"/>
    </row>
    <row r="24" spans="2:4" x14ac:dyDescent="0.3">
      <c r="B24" s="33" t="s">
        <v>195</v>
      </c>
      <c r="C24" s="34">
        <v>8</v>
      </c>
      <c r="D24" s="59"/>
    </row>
    <row r="25" spans="2:4" x14ac:dyDescent="0.3">
      <c r="B25" s="38" t="s">
        <v>196</v>
      </c>
      <c r="C25" s="53">
        <v>85</v>
      </c>
      <c r="D25" s="59"/>
    </row>
    <row r="26" spans="2:4" x14ac:dyDescent="0.3">
      <c r="B26" s="33" t="s">
        <v>197</v>
      </c>
      <c r="C26" s="34">
        <v>85</v>
      </c>
      <c r="D26" s="59"/>
    </row>
    <row r="27" spans="2:4" x14ac:dyDescent="0.3">
      <c r="B27" s="35" t="s">
        <v>204</v>
      </c>
      <c r="C27" s="52">
        <v>20</v>
      </c>
      <c r="D27" s="59"/>
    </row>
    <row r="28" spans="2:4" x14ac:dyDescent="0.3">
      <c r="B28" s="36" t="s">
        <v>379</v>
      </c>
      <c r="C28" s="52">
        <v>12</v>
      </c>
      <c r="D28" s="59"/>
    </row>
    <row r="29" spans="2:4" x14ac:dyDescent="0.3">
      <c r="B29" s="36" t="s">
        <v>381</v>
      </c>
      <c r="C29" s="52">
        <v>15</v>
      </c>
      <c r="D29" s="59">
        <f>SUM(C27:C29)</f>
        <v>47</v>
      </c>
    </row>
    <row r="30" spans="2:4" x14ac:dyDescent="0.3">
      <c r="B30" s="33" t="s">
        <v>198</v>
      </c>
      <c r="C30" s="34">
        <v>85</v>
      </c>
      <c r="D30" s="59"/>
    </row>
    <row r="31" spans="2:4" x14ac:dyDescent="0.3">
      <c r="B31" s="33" t="s">
        <v>199</v>
      </c>
      <c r="C31" s="34">
        <v>10</v>
      </c>
      <c r="D31" s="59"/>
    </row>
    <row r="32" spans="2:4" x14ac:dyDescent="0.3">
      <c r="B32" s="33" t="s">
        <v>200</v>
      </c>
      <c r="C32" s="34">
        <v>120</v>
      </c>
      <c r="D32" s="59">
        <f>SUM(C32-C33-C34)</f>
        <v>100</v>
      </c>
    </row>
    <row r="33" spans="2:4" x14ac:dyDescent="0.3">
      <c r="B33" s="35" t="s">
        <v>183</v>
      </c>
      <c r="C33" s="52">
        <v>12</v>
      </c>
      <c r="D33" s="59"/>
    </row>
    <row r="34" spans="2:4" x14ac:dyDescent="0.3">
      <c r="B34" s="35" t="s">
        <v>184</v>
      </c>
      <c r="C34" s="52">
        <v>8</v>
      </c>
      <c r="D34" s="59"/>
    </row>
    <row r="35" spans="2:4" x14ac:dyDescent="0.3">
      <c r="B35" s="33" t="s">
        <v>201</v>
      </c>
      <c r="C35" s="34">
        <v>60</v>
      </c>
      <c r="D35" s="59">
        <v>40</v>
      </c>
    </row>
    <row r="36" spans="2:4" x14ac:dyDescent="0.3">
      <c r="B36" s="35" t="s">
        <v>183</v>
      </c>
      <c r="C36" s="52">
        <v>12</v>
      </c>
      <c r="D36" s="59"/>
    </row>
    <row r="37" spans="2:4" x14ac:dyDescent="0.3">
      <c r="B37" s="35" t="s">
        <v>184</v>
      </c>
      <c r="C37" s="52">
        <v>8</v>
      </c>
      <c r="D37" s="59"/>
    </row>
    <row r="38" spans="2:4" x14ac:dyDescent="0.3">
      <c r="B38" s="33" t="s">
        <v>202</v>
      </c>
      <c r="C38" s="34">
        <v>65</v>
      </c>
      <c r="D38" s="59">
        <v>45</v>
      </c>
    </row>
    <row r="39" spans="2:4" x14ac:dyDescent="0.3">
      <c r="B39" s="35" t="s">
        <v>183</v>
      </c>
      <c r="C39" s="52">
        <v>12</v>
      </c>
      <c r="D39" s="59"/>
    </row>
    <row r="40" spans="2:4" x14ac:dyDescent="0.3">
      <c r="B40" s="35" t="s">
        <v>184</v>
      </c>
      <c r="C40" s="52">
        <v>8</v>
      </c>
      <c r="D40" s="59"/>
    </row>
    <row r="41" spans="2:4" x14ac:dyDescent="0.3">
      <c r="B41" s="33" t="s">
        <v>203</v>
      </c>
      <c r="C41" s="34">
        <v>3</v>
      </c>
      <c r="D41" s="59"/>
    </row>
    <row r="42" spans="2:4" x14ac:dyDescent="0.3">
      <c r="B42" s="33" t="s">
        <v>204</v>
      </c>
      <c r="C42" s="34">
        <v>20</v>
      </c>
      <c r="D42" s="59">
        <v>0</v>
      </c>
    </row>
    <row r="43" spans="2:4" x14ac:dyDescent="0.3">
      <c r="B43" s="33" t="s">
        <v>113</v>
      </c>
      <c r="C43" s="34">
        <v>15</v>
      </c>
      <c r="D43" s="59"/>
    </row>
    <row r="44" spans="2:4" x14ac:dyDescent="0.3">
      <c r="B44" s="38" t="s">
        <v>205</v>
      </c>
      <c r="C44" s="53">
        <v>25</v>
      </c>
      <c r="D44" s="59"/>
    </row>
    <row r="45" spans="2:4" x14ac:dyDescent="0.3">
      <c r="B45" s="33" t="s">
        <v>206</v>
      </c>
      <c r="C45" s="34">
        <v>15</v>
      </c>
      <c r="D45" s="59"/>
    </row>
    <row r="46" spans="2:4" x14ac:dyDescent="0.3">
      <c r="B46" s="33" t="s">
        <v>207</v>
      </c>
      <c r="C46" s="34">
        <v>28</v>
      </c>
      <c r="D46" s="59"/>
    </row>
    <row r="47" spans="2:4" x14ac:dyDescent="0.3">
      <c r="B47" s="38" t="s">
        <v>208</v>
      </c>
      <c r="C47" s="53">
        <v>102</v>
      </c>
      <c r="D47" s="59"/>
    </row>
    <row r="48" spans="2:4" x14ac:dyDescent="0.3">
      <c r="B48" s="38" t="s">
        <v>209</v>
      </c>
      <c r="C48" s="53">
        <v>13</v>
      </c>
      <c r="D48" s="59"/>
    </row>
    <row r="49" spans="2:4" x14ac:dyDescent="0.3">
      <c r="B49" s="38" t="s">
        <v>210</v>
      </c>
      <c r="C49" s="53">
        <v>19</v>
      </c>
      <c r="D49" s="59"/>
    </row>
    <row r="50" spans="2:4" x14ac:dyDescent="0.3">
      <c r="B50" s="33" t="s">
        <v>212</v>
      </c>
      <c r="C50" s="34">
        <v>10</v>
      </c>
      <c r="D50" s="59"/>
    </row>
    <row r="51" spans="2:4" x14ac:dyDescent="0.3">
      <c r="B51" s="33" t="s">
        <v>481</v>
      </c>
      <c r="C51" s="34">
        <v>20</v>
      </c>
      <c r="D51" s="59"/>
    </row>
    <row r="52" spans="2:4" x14ac:dyDescent="0.3">
      <c r="B52" s="33"/>
      <c r="C52" s="34"/>
      <c r="D52" s="59"/>
    </row>
    <row r="53" spans="2:4" x14ac:dyDescent="0.3">
      <c r="B53" s="38" t="s">
        <v>214</v>
      </c>
      <c r="C53" s="53">
        <v>125</v>
      </c>
      <c r="D53" s="59"/>
    </row>
    <row r="54" spans="2:4" x14ac:dyDescent="0.3">
      <c r="B54" s="33" t="s">
        <v>215</v>
      </c>
      <c r="C54" s="34">
        <v>125</v>
      </c>
      <c r="D54" s="59">
        <v>125</v>
      </c>
    </row>
    <row r="55" spans="2:4" x14ac:dyDescent="0.3">
      <c r="B55" s="38" t="s">
        <v>216</v>
      </c>
      <c r="C55" s="53">
        <v>125</v>
      </c>
      <c r="D55" s="59"/>
    </row>
    <row r="56" spans="2:4" x14ac:dyDescent="0.3">
      <c r="B56" s="38" t="s">
        <v>217</v>
      </c>
      <c r="C56" s="53">
        <v>125</v>
      </c>
      <c r="D56" s="59"/>
    </row>
    <row r="57" spans="2:4" x14ac:dyDescent="0.3">
      <c r="B57" s="35" t="s">
        <v>383</v>
      </c>
      <c r="C57" s="52">
        <v>72</v>
      </c>
      <c r="D57" s="59"/>
    </row>
    <row r="58" spans="2:4" x14ac:dyDescent="0.3">
      <c r="B58" s="36" t="s">
        <v>378</v>
      </c>
      <c r="C58" s="52">
        <v>1</v>
      </c>
      <c r="D58" s="59"/>
    </row>
    <row r="59" spans="2:4" x14ac:dyDescent="0.3">
      <c r="B59" s="36" t="s">
        <v>379</v>
      </c>
      <c r="C59" s="52">
        <v>12</v>
      </c>
      <c r="D59" s="59"/>
    </row>
    <row r="60" spans="2:4" x14ac:dyDescent="0.3">
      <c r="B60" s="36" t="s">
        <v>380</v>
      </c>
      <c r="C60" s="52">
        <v>15</v>
      </c>
      <c r="D60" s="59"/>
    </row>
    <row r="61" spans="2:4" x14ac:dyDescent="0.3">
      <c r="B61" s="36" t="s">
        <v>381</v>
      </c>
      <c r="C61" s="52">
        <v>15</v>
      </c>
      <c r="D61" s="59"/>
    </row>
    <row r="62" spans="2:4" x14ac:dyDescent="0.3">
      <c r="B62" s="36" t="s">
        <v>382</v>
      </c>
      <c r="C62" s="52">
        <v>10</v>
      </c>
      <c r="D62" s="59">
        <f>SUM(C57:C62)</f>
        <v>125</v>
      </c>
    </row>
    <row r="63" spans="2:4" x14ac:dyDescent="0.3">
      <c r="B63" s="33" t="s">
        <v>218</v>
      </c>
      <c r="C63" s="34">
        <v>25</v>
      </c>
      <c r="D63" s="59"/>
    </row>
    <row r="64" spans="2:4" x14ac:dyDescent="0.3">
      <c r="B64" s="33" t="s">
        <v>219</v>
      </c>
      <c r="C64" s="34">
        <v>30</v>
      </c>
      <c r="D64" s="59"/>
    </row>
    <row r="65" spans="2:4" x14ac:dyDescent="0.3">
      <c r="B65" s="33" t="s">
        <v>220</v>
      </c>
      <c r="C65" s="34">
        <v>105</v>
      </c>
      <c r="D65" s="59">
        <f>SUM(C65-D69)</f>
        <v>105</v>
      </c>
    </row>
    <row r="66" spans="2:4" x14ac:dyDescent="0.3">
      <c r="B66" s="36" t="s">
        <v>379</v>
      </c>
      <c r="C66" s="52">
        <v>12</v>
      </c>
      <c r="D66" s="59"/>
    </row>
    <row r="67" spans="2:4" x14ac:dyDescent="0.3">
      <c r="B67" s="36" t="s">
        <v>380</v>
      </c>
      <c r="C67" s="52">
        <v>15</v>
      </c>
      <c r="D67" s="59"/>
    </row>
    <row r="68" spans="2:4" x14ac:dyDescent="0.3">
      <c r="B68" s="36" t="s">
        <v>381</v>
      </c>
      <c r="C68" s="52">
        <v>15</v>
      </c>
      <c r="D68" s="59"/>
    </row>
    <row r="69" spans="2:4" x14ac:dyDescent="0.3">
      <c r="B69" s="36" t="s">
        <v>382</v>
      </c>
      <c r="C69" s="52">
        <v>10</v>
      </c>
      <c r="D69" s="59"/>
    </row>
    <row r="70" spans="2:4" x14ac:dyDescent="0.3">
      <c r="B70" s="36" t="s">
        <v>383</v>
      </c>
      <c r="C70" s="52">
        <v>53</v>
      </c>
      <c r="D70" s="59">
        <f>SUM(C66:C70)</f>
        <v>105</v>
      </c>
    </row>
    <row r="71" spans="2:4" x14ac:dyDescent="0.3">
      <c r="B71" s="33" t="s">
        <v>221</v>
      </c>
      <c r="C71" s="34">
        <v>55.5</v>
      </c>
      <c r="D71" s="59"/>
    </row>
    <row r="72" spans="2:4" x14ac:dyDescent="0.3">
      <c r="B72" s="33" t="s">
        <v>222</v>
      </c>
      <c r="C72" s="34">
        <v>62</v>
      </c>
      <c r="D72" s="59"/>
    </row>
    <row r="73" spans="2:4" x14ac:dyDescent="0.3">
      <c r="B73" s="36" t="s">
        <v>379</v>
      </c>
      <c r="C73" s="52">
        <v>12</v>
      </c>
      <c r="D73" s="59"/>
    </row>
    <row r="74" spans="2:4" x14ac:dyDescent="0.3">
      <c r="B74" s="36" t="s">
        <v>380</v>
      </c>
      <c r="C74" s="52">
        <v>15</v>
      </c>
      <c r="D74" s="59"/>
    </row>
    <row r="75" spans="2:4" x14ac:dyDescent="0.3">
      <c r="B75" s="36" t="s">
        <v>384</v>
      </c>
      <c r="C75" s="52">
        <v>35</v>
      </c>
      <c r="D75" s="59"/>
    </row>
    <row r="76" spans="2:4" x14ac:dyDescent="0.3">
      <c r="B76" s="33" t="s">
        <v>223</v>
      </c>
      <c r="C76" s="34">
        <v>62</v>
      </c>
      <c r="D76" s="59"/>
    </row>
    <row r="77" spans="2:4" x14ac:dyDescent="0.3">
      <c r="B77" s="36" t="s">
        <v>379</v>
      </c>
      <c r="C77" s="52">
        <v>12</v>
      </c>
      <c r="D77" s="59"/>
    </row>
    <row r="78" spans="2:4" x14ac:dyDescent="0.3">
      <c r="B78" s="36" t="s">
        <v>380</v>
      </c>
      <c r="C78" s="52">
        <v>15</v>
      </c>
      <c r="D78" s="59"/>
    </row>
    <row r="79" spans="2:4" x14ac:dyDescent="0.3">
      <c r="B79" s="36" t="s">
        <v>384</v>
      </c>
      <c r="C79" s="52">
        <v>35</v>
      </c>
      <c r="D79" s="59"/>
    </row>
    <row r="80" spans="2:4" x14ac:dyDescent="0.3">
      <c r="B80" s="33" t="s">
        <v>224</v>
      </c>
      <c r="C80" s="34">
        <v>29</v>
      </c>
      <c r="D80" s="59"/>
    </row>
    <row r="81" spans="2:4" x14ac:dyDescent="0.3">
      <c r="B81" s="33" t="s">
        <v>225</v>
      </c>
      <c r="C81" s="34">
        <v>50</v>
      </c>
      <c r="D81" s="59"/>
    </row>
    <row r="82" spans="2:4" x14ac:dyDescent="0.3">
      <c r="B82" s="33" t="s">
        <v>226</v>
      </c>
      <c r="C82" s="34">
        <v>60</v>
      </c>
      <c r="D82" s="59"/>
    </row>
    <row r="83" spans="2:4" x14ac:dyDescent="0.3">
      <c r="B83" s="33" t="s">
        <v>227</v>
      </c>
      <c r="C83" s="34">
        <v>25</v>
      </c>
      <c r="D83" s="59"/>
    </row>
    <row r="84" spans="2:4" x14ac:dyDescent="0.3">
      <c r="B84" s="33" t="s">
        <v>228</v>
      </c>
      <c r="C84" s="34">
        <v>25</v>
      </c>
      <c r="D84" s="59"/>
    </row>
    <row r="85" spans="2:4" x14ac:dyDescent="0.3">
      <c r="B85" s="33" t="s">
        <v>229</v>
      </c>
      <c r="C85" s="34">
        <v>43</v>
      </c>
      <c r="D85" s="59"/>
    </row>
    <row r="86" spans="2:4" x14ac:dyDescent="0.3">
      <c r="B86" s="33" t="s">
        <v>230</v>
      </c>
      <c r="C86" s="34">
        <v>40</v>
      </c>
      <c r="D86" s="59"/>
    </row>
    <row r="87" spans="2:4" x14ac:dyDescent="0.3">
      <c r="B87" s="33" t="s">
        <v>231</v>
      </c>
      <c r="C87" s="34">
        <v>1.5</v>
      </c>
      <c r="D87" s="59"/>
    </row>
    <row r="88" spans="2:4" x14ac:dyDescent="0.3">
      <c r="B88" s="33" t="s">
        <v>232</v>
      </c>
      <c r="C88" s="34">
        <v>55</v>
      </c>
      <c r="D88" s="59"/>
    </row>
    <row r="89" spans="2:4" x14ac:dyDescent="0.3">
      <c r="B89" s="33" t="s">
        <v>233</v>
      </c>
      <c r="C89" s="34">
        <v>50</v>
      </c>
      <c r="D89" s="59"/>
    </row>
    <row r="90" spans="2:4" x14ac:dyDescent="0.3">
      <c r="B90" s="33" t="s">
        <v>234</v>
      </c>
      <c r="C90" s="34">
        <v>50</v>
      </c>
      <c r="D90" s="59"/>
    </row>
    <row r="91" spans="2:4" x14ac:dyDescent="0.3">
      <c r="B91" s="38" t="s">
        <v>235</v>
      </c>
      <c r="C91" s="53">
        <v>10</v>
      </c>
      <c r="D91" s="59"/>
    </row>
    <row r="92" spans="2:4" x14ac:dyDescent="0.3">
      <c r="B92" s="38" t="s">
        <v>236</v>
      </c>
      <c r="C92" s="53">
        <v>10</v>
      </c>
      <c r="D92" s="59"/>
    </row>
    <row r="93" spans="2:4" x14ac:dyDescent="0.3">
      <c r="B93" s="33" t="s">
        <v>237</v>
      </c>
      <c r="C93" s="34">
        <v>9</v>
      </c>
      <c r="D93" s="59"/>
    </row>
    <row r="94" spans="2:4" x14ac:dyDescent="0.3">
      <c r="B94" s="33" t="s">
        <v>238</v>
      </c>
      <c r="C94" s="34">
        <v>63</v>
      </c>
      <c r="D94" s="59"/>
    </row>
    <row r="95" spans="2:4" x14ac:dyDescent="0.3">
      <c r="B95" s="33" t="s">
        <v>385</v>
      </c>
      <c r="C95" s="34">
        <v>30</v>
      </c>
      <c r="D95" s="59"/>
    </row>
    <row r="96" spans="2:4" x14ac:dyDescent="0.3">
      <c r="B96" s="33" t="s">
        <v>239</v>
      </c>
      <c r="C96" s="34">
        <v>80</v>
      </c>
      <c r="D96" s="59"/>
    </row>
    <row r="97" spans="2:4" x14ac:dyDescent="0.3">
      <c r="B97" s="33" t="s">
        <v>240</v>
      </c>
      <c r="C97" s="34">
        <v>350</v>
      </c>
      <c r="D97" s="60"/>
    </row>
    <row r="98" spans="2:4" x14ac:dyDescent="0.3">
      <c r="B98" s="35" t="s">
        <v>386</v>
      </c>
      <c r="C98" s="52">
        <v>30</v>
      </c>
      <c r="D98" s="59"/>
    </row>
    <row r="99" spans="2:4" x14ac:dyDescent="0.3">
      <c r="B99" s="35" t="s">
        <v>387</v>
      </c>
      <c r="C99" s="52">
        <v>20</v>
      </c>
      <c r="D99" s="59"/>
    </row>
    <row r="100" spans="2:4" x14ac:dyDescent="0.3">
      <c r="B100" s="33" t="s">
        <v>241</v>
      </c>
      <c r="C100" s="34">
        <v>35</v>
      </c>
      <c r="D100" s="59"/>
    </row>
    <row r="101" spans="2:4" x14ac:dyDescent="0.3">
      <c r="B101" s="1"/>
      <c r="C101" s="39"/>
      <c r="D101" s="23"/>
    </row>
    <row r="102" spans="2:4" x14ac:dyDescent="0.3">
      <c r="B102" s="33" t="s">
        <v>242</v>
      </c>
      <c r="C102" s="34">
        <v>65</v>
      </c>
      <c r="D102" s="59"/>
    </row>
    <row r="103" spans="2:4" x14ac:dyDescent="0.3">
      <c r="B103" s="35" t="s">
        <v>189</v>
      </c>
      <c r="C103" s="52">
        <v>10</v>
      </c>
      <c r="D103" s="59"/>
    </row>
    <row r="104" spans="2:4" x14ac:dyDescent="0.3">
      <c r="B104" s="35" t="s">
        <v>388</v>
      </c>
      <c r="C104" s="52">
        <v>20</v>
      </c>
      <c r="D104" s="59"/>
    </row>
    <row r="105" spans="2:4" x14ac:dyDescent="0.3">
      <c r="B105" s="35" t="s">
        <v>389</v>
      </c>
      <c r="C105" s="52">
        <v>20</v>
      </c>
      <c r="D105" s="59"/>
    </row>
    <row r="106" spans="2:4" x14ac:dyDescent="0.3">
      <c r="B106" s="35" t="s">
        <v>390</v>
      </c>
      <c r="C106" s="52">
        <v>15</v>
      </c>
      <c r="D106" s="59"/>
    </row>
    <row r="107" spans="2:4" x14ac:dyDescent="0.3">
      <c r="B107" s="33" t="s">
        <v>243</v>
      </c>
      <c r="C107" s="34">
        <v>20</v>
      </c>
      <c r="D107" s="59"/>
    </row>
    <row r="108" spans="2:4" x14ac:dyDescent="0.3">
      <c r="B108" s="33" t="s">
        <v>244</v>
      </c>
      <c r="C108" s="34">
        <v>25</v>
      </c>
      <c r="D108" s="59"/>
    </row>
    <row r="109" spans="2:4" x14ac:dyDescent="0.3">
      <c r="B109" s="33" t="s">
        <v>245</v>
      </c>
      <c r="C109" s="34">
        <v>58</v>
      </c>
      <c r="D109" s="59"/>
    </row>
    <row r="110" spans="2:4" x14ac:dyDescent="0.3">
      <c r="B110" s="33" t="s">
        <v>246</v>
      </c>
      <c r="C110" s="34">
        <v>120</v>
      </c>
      <c r="D110" s="59"/>
    </row>
    <row r="111" spans="2:4" x14ac:dyDescent="0.3">
      <c r="B111" s="35" t="s">
        <v>391</v>
      </c>
      <c r="C111" s="52">
        <v>50</v>
      </c>
      <c r="D111" s="59"/>
    </row>
    <row r="112" spans="2:4" x14ac:dyDescent="0.3">
      <c r="B112" s="35" t="s">
        <v>392</v>
      </c>
      <c r="C112" s="52">
        <v>70</v>
      </c>
      <c r="D112" s="59"/>
    </row>
    <row r="113" spans="2:4" x14ac:dyDescent="0.3">
      <c r="B113" s="33" t="s">
        <v>247</v>
      </c>
      <c r="C113" s="34">
        <v>180</v>
      </c>
      <c r="D113" s="59"/>
    </row>
    <row r="114" spans="2:4" x14ac:dyDescent="0.3">
      <c r="B114" s="35" t="s">
        <v>391</v>
      </c>
      <c r="C114" s="52">
        <v>80</v>
      </c>
      <c r="D114" s="59"/>
    </row>
    <row r="115" spans="2:4" x14ac:dyDescent="0.3">
      <c r="B115" s="35" t="s">
        <v>392</v>
      </c>
      <c r="C115" s="52">
        <v>100</v>
      </c>
      <c r="D115" s="59"/>
    </row>
    <row r="116" spans="2:4" x14ac:dyDescent="0.3">
      <c r="B116" s="54" t="s">
        <v>248</v>
      </c>
      <c r="C116" s="55">
        <v>16</v>
      </c>
      <c r="D116" s="61"/>
    </row>
    <row r="117" spans="2:4" x14ac:dyDescent="0.3">
      <c r="B117" s="54" t="s">
        <v>249</v>
      </c>
      <c r="C117" s="55">
        <v>16</v>
      </c>
      <c r="D117" s="61"/>
    </row>
    <row r="118" spans="2:4" x14ac:dyDescent="0.3">
      <c r="B118" s="38" t="s">
        <v>250</v>
      </c>
      <c r="C118" s="53">
        <v>150</v>
      </c>
      <c r="D118" s="59"/>
    </row>
    <row r="119" spans="2:4" x14ac:dyDescent="0.3">
      <c r="B119" s="33" t="s">
        <v>251</v>
      </c>
      <c r="C119" s="34">
        <v>1000</v>
      </c>
      <c r="D119" s="59"/>
    </row>
    <row r="120" spans="2:4" x14ac:dyDescent="0.3">
      <c r="B120" s="35" t="s">
        <v>393</v>
      </c>
      <c r="C120" s="34"/>
      <c r="D120" s="59"/>
    </row>
    <row r="121" spans="2:4" x14ac:dyDescent="0.3">
      <c r="B121" s="35" t="s">
        <v>392</v>
      </c>
      <c r="C121" s="34"/>
      <c r="D121" s="59"/>
    </row>
    <row r="122" spans="2:4" x14ac:dyDescent="0.3">
      <c r="B122" s="33" t="s">
        <v>252</v>
      </c>
      <c r="C122" s="34">
        <v>2380</v>
      </c>
      <c r="D122" s="59"/>
    </row>
    <row r="123" spans="2:4" x14ac:dyDescent="0.3">
      <c r="B123" s="35" t="s">
        <v>393</v>
      </c>
      <c r="C123" s="34"/>
      <c r="D123" s="59"/>
    </row>
    <row r="124" spans="2:4" x14ac:dyDescent="0.3">
      <c r="B124" s="35" t="s">
        <v>392</v>
      </c>
      <c r="C124" s="34"/>
      <c r="D124" s="59"/>
    </row>
    <row r="125" spans="2:4" x14ac:dyDescent="0.3">
      <c r="B125" s="40"/>
      <c r="C125" s="34"/>
      <c r="D125" s="23"/>
    </row>
    <row r="126" spans="2:4" x14ac:dyDescent="0.3">
      <c r="B126" s="33" t="s">
        <v>253</v>
      </c>
      <c r="C126" s="34">
        <v>120</v>
      </c>
      <c r="D126" s="59">
        <v>100</v>
      </c>
    </row>
    <row r="127" spans="2:4" x14ac:dyDescent="0.3">
      <c r="B127" s="33" t="s">
        <v>254</v>
      </c>
      <c r="C127" s="34">
        <v>130</v>
      </c>
      <c r="D127" s="59"/>
    </row>
    <row r="128" spans="2:4" x14ac:dyDescent="0.3">
      <c r="B128" s="36" t="s">
        <v>378</v>
      </c>
      <c r="C128" s="52">
        <v>1</v>
      </c>
      <c r="D128" s="59"/>
    </row>
    <row r="129" spans="2:4" x14ac:dyDescent="0.3">
      <c r="B129" s="36" t="s">
        <v>394</v>
      </c>
      <c r="C129" s="52">
        <v>30</v>
      </c>
      <c r="D129" s="59"/>
    </row>
    <row r="130" spans="2:4" x14ac:dyDescent="0.3">
      <c r="B130" s="36" t="s">
        <v>380</v>
      </c>
      <c r="C130" s="52">
        <v>15</v>
      </c>
      <c r="D130" s="59"/>
    </row>
    <row r="131" spans="2:4" x14ac:dyDescent="0.3">
      <c r="B131" s="36" t="s">
        <v>395</v>
      </c>
      <c r="C131" s="52">
        <v>24</v>
      </c>
      <c r="D131" s="59"/>
    </row>
    <row r="132" spans="2:4" x14ac:dyDescent="0.3">
      <c r="B132" s="35" t="s">
        <v>386</v>
      </c>
      <c r="C132" s="52">
        <v>10</v>
      </c>
      <c r="D132" s="59"/>
    </row>
    <row r="133" spans="2:4" x14ac:dyDescent="0.3">
      <c r="B133" s="35" t="s">
        <v>396</v>
      </c>
      <c r="C133" s="52">
        <v>30</v>
      </c>
      <c r="D133" s="59"/>
    </row>
    <row r="134" spans="2:4" x14ac:dyDescent="0.3">
      <c r="B134" s="35" t="s">
        <v>397</v>
      </c>
      <c r="C134" s="52">
        <v>10</v>
      </c>
      <c r="D134" s="59"/>
    </row>
    <row r="135" spans="2:4" x14ac:dyDescent="0.3">
      <c r="B135" s="35" t="s">
        <v>387</v>
      </c>
      <c r="C135" s="52">
        <v>10</v>
      </c>
      <c r="D135" s="59">
        <f>SUM(C128:C135)</f>
        <v>130</v>
      </c>
    </row>
    <row r="136" spans="2:4" x14ac:dyDescent="0.3">
      <c r="B136" s="33" t="s">
        <v>255</v>
      </c>
      <c r="C136" s="34">
        <v>60</v>
      </c>
      <c r="D136" s="59">
        <v>80</v>
      </c>
    </row>
    <row r="137" spans="2:4" x14ac:dyDescent="0.3">
      <c r="B137" s="36" t="s">
        <v>378</v>
      </c>
      <c r="C137" s="52">
        <v>1</v>
      </c>
      <c r="D137" s="59"/>
    </row>
    <row r="138" spans="2:4" x14ac:dyDescent="0.3">
      <c r="B138" s="36" t="s">
        <v>379</v>
      </c>
      <c r="C138" s="52">
        <v>19</v>
      </c>
      <c r="D138" s="59"/>
    </row>
    <row r="139" spans="2:4" x14ac:dyDescent="0.3">
      <c r="B139" s="36" t="s">
        <v>380</v>
      </c>
      <c r="C139" s="52">
        <v>15</v>
      </c>
      <c r="D139" s="59"/>
    </row>
    <row r="140" spans="2:4" x14ac:dyDescent="0.3">
      <c r="B140" s="36" t="s">
        <v>381</v>
      </c>
      <c r="C140" s="52">
        <v>15</v>
      </c>
      <c r="D140" s="59"/>
    </row>
    <row r="141" spans="2:4" x14ac:dyDescent="0.3">
      <c r="B141" s="36" t="s">
        <v>397</v>
      </c>
      <c r="C141" s="52">
        <v>10</v>
      </c>
      <c r="D141" s="59"/>
    </row>
    <row r="142" spans="2:4" x14ac:dyDescent="0.3">
      <c r="B142" s="35" t="s">
        <v>386</v>
      </c>
      <c r="C142" s="52">
        <v>10</v>
      </c>
      <c r="D142" s="59"/>
    </row>
    <row r="143" spans="2:4" x14ac:dyDescent="0.3">
      <c r="B143" s="35" t="s">
        <v>387</v>
      </c>
      <c r="C143" s="52">
        <v>10</v>
      </c>
      <c r="D143" s="59">
        <f>SUM(C137:C143)</f>
        <v>80</v>
      </c>
    </row>
    <row r="144" spans="2:4" x14ac:dyDescent="0.3">
      <c r="B144" s="54" t="s">
        <v>256</v>
      </c>
      <c r="C144" s="55">
        <v>90</v>
      </c>
      <c r="D144" s="59"/>
    </row>
    <row r="145" spans="2:4" x14ac:dyDescent="0.3">
      <c r="B145" s="54" t="s">
        <v>257</v>
      </c>
      <c r="C145" s="55">
        <v>130</v>
      </c>
      <c r="D145" s="59"/>
    </row>
    <row r="146" spans="2:4" x14ac:dyDescent="0.3">
      <c r="B146" s="33" t="s">
        <v>258</v>
      </c>
      <c r="C146" s="34">
        <v>148</v>
      </c>
      <c r="D146" s="59">
        <f>SUM(C146-D154)</f>
        <v>0</v>
      </c>
    </row>
    <row r="147" spans="2:4" x14ac:dyDescent="0.3">
      <c r="B147" s="36" t="s">
        <v>378</v>
      </c>
      <c r="C147" s="52">
        <v>1</v>
      </c>
      <c r="D147" s="23"/>
    </row>
    <row r="148" spans="2:4" x14ac:dyDescent="0.3">
      <c r="B148" s="36" t="s">
        <v>394</v>
      </c>
      <c r="C148" s="52">
        <v>30</v>
      </c>
      <c r="D148" s="23"/>
    </row>
    <row r="149" spans="2:4" x14ac:dyDescent="0.3">
      <c r="B149" s="36" t="s">
        <v>380</v>
      </c>
      <c r="C149" s="52">
        <v>30</v>
      </c>
      <c r="D149" s="23"/>
    </row>
    <row r="150" spans="2:4" x14ac:dyDescent="0.3">
      <c r="B150" s="36" t="s">
        <v>381</v>
      </c>
      <c r="C150" s="52">
        <v>15</v>
      </c>
      <c r="D150" s="23"/>
    </row>
    <row r="151" spans="2:4" x14ac:dyDescent="0.3">
      <c r="B151" s="36" t="s">
        <v>397</v>
      </c>
      <c r="C151" s="52">
        <v>10</v>
      </c>
      <c r="D151" s="23"/>
    </row>
    <row r="152" spans="2:4" x14ac:dyDescent="0.3">
      <c r="B152" s="35" t="s">
        <v>386</v>
      </c>
      <c r="C152" s="52">
        <v>15</v>
      </c>
      <c r="D152" s="23"/>
    </row>
    <row r="153" spans="2:4" x14ac:dyDescent="0.3">
      <c r="B153" s="35" t="s">
        <v>396</v>
      </c>
      <c r="C153" s="52">
        <v>30</v>
      </c>
      <c r="D153" s="23"/>
    </row>
    <row r="154" spans="2:4" x14ac:dyDescent="0.3">
      <c r="B154" s="35" t="s">
        <v>387</v>
      </c>
      <c r="C154" s="52">
        <v>17</v>
      </c>
      <c r="D154" s="59">
        <f>SUM(C147:C154)</f>
        <v>148</v>
      </c>
    </row>
    <row r="155" spans="2:4" x14ac:dyDescent="0.3">
      <c r="B155" s="33" t="s">
        <v>259</v>
      </c>
      <c r="C155" s="34">
        <v>120</v>
      </c>
      <c r="D155" s="59"/>
    </row>
    <row r="156" spans="2:4" x14ac:dyDescent="0.3">
      <c r="B156" s="33" t="s">
        <v>260</v>
      </c>
      <c r="C156" s="34">
        <v>80</v>
      </c>
      <c r="D156" s="59"/>
    </row>
    <row r="157" spans="2:4" x14ac:dyDescent="0.3">
      <c r="B157" s="36" t="s">
        <v>378</v>
      </c>
      <c r="C157" s="52">
        <v>1</v>
      </c>
      <c r="D157" s="59"/>
    </row>
    <row r="158" spans="2:4" x14ac:dyDescent="0.3">
      <c r="B158" s="36" t="s">
        <v>379</v>
      </c>
      <c r="C158" s="52">
        <v>12</v>
      </c>
      <c r="D158" s="59"/>
    </row>
    <row r="159" spans="2:4" x14ac:dyDescent="0.3">
      <c r="B159" s="36" t="s">
        <v>380</v>
      </c>
      <c r="C159" s="52">
        <v>35</v>
      </c>
      <c r="D159" s="59"/>
    </row>
    <row r="160" spans="2:4" x14ac:dyDescent="0.3">
      <c r="B160" s="36" t="s">
        <v>381</v>
      </c>
      <c r="C160" s="52">
        <v>32</v>
      </c>
      <c r="D160" s="59">
        <f>SUM(C157:C160)</f>
        <v>80</v>
      </c>
    </row>
    <row r="161" spans="2:4" x14ac:dyDescent="0.3">
      <c r="B161" s="33" t="s">
        <v>261</v>
      </c>
      <c r="C161" s="34">
        <v>86</v>
      </c>
      <c r="D161" s="59">
        <v>120</v>
      </c>
    </row>
    <row r="162" spans="2:4" x14ac:dyDescent="0.3">
      <c r="B162" s="36" t="s">
        <v>378</v>
      </c>
      <c r="C162" s="52">
        <v>1</v>
      </c>
      <c r="D162" s="59"/>
    </row>
    <row r="163" spans="2:4" x14ac:dyDescent="0.3">
      <c r="B163" s="36" t="s">
        <v>379</v>
      </c>
      <c r="C163" s="52">
        <v>12</v>
      </c>
      <c r="D163" s="59"/>
    </row>
    <row r="164" spans="2:4" x14ac:dyDescent="0.3">
      <c r="B164" s="36" t="s">
        <v>380</v>
      </c>
      <c r="C164" s="52">
        <v>35</v>
      </c>
      <c r="D164" s="59"/>
    </row>
    <row r="165" spans="2:4" x14ac:dyDescent="0.3">
      <c r="B165" s="36" t="s">
        <v>381</v>
      </c>
      <c r="C165" s="52">
        <v>32</v>
      </c>
      <c r="D165" s="59"/>
    </row>
    <row r="166" spans="2:4" x14ac:dyDescent="0.3">
      <c r="B166" s="35" t="s">
        <v>398</v>
      </c>
      <c r="C166" s="52">
        <v>40</v>
      </c>
      <c r="D166" s="59">
        <f>SUM(C162:C166)</f>
        <v>120</v>
      </c>
    </row>
    <row r="167" spans="2:4" x14ac:dyDescent="0.3">
      <c r="B167" s="33" t="s">
        <v>262</v>
      </c>
      <c r="C167" s="34">
        <v>112</v>
      </c>
      <c r="D167" s="59">
        <v>130</v>
      </c>
    </row>
    <row r="168" spans="2:4" x14ac:dyDescent="0.3">
      <c r="B168" s="36" t="s">
        <v>378</v>
      </c>
      <c r="C168" s="52">
        <v>1</v>
      </c>
      <c r="D168" s="59"/>
    </row>
    <row r="169" spans="2:4" x14ac:dyDescent="0.3">
      <c r="B169" s="36" t="s">
        <v>379</v>
      </c>
      <c r="C169" s="52">
        <v>12</v>
      </c>
      <c r="D169" s="59"/>
    </row>
    <row r="170" spans="2:4" x14ac:dyDescent="0.3">
      <c r="B170" s="36" t="s">
        <v>380</v>
      </c>
      <c r="C170" s="52">
        <v>35</v>
      </c>
      <c r="D170" s="59"/>
    </row>
    <row r="171" spans="2:4" x14ac:dyDescent="0.3">
      <c r="B171" s="36" t="s">
        <v>381</v>
      </c>
      <c r="C171" s="52">
        <v>32</v>
      </c>
      <c r="D171" s="59"/>
    </row>
    <row r="172" spans="2:4" x14ac:dyDescent="0.3">
      <c r="B172" s="35" t="s">
        <v>399</v>
      </c>
      <c r="C172" s="52">
        <v>50</v>
      </c>
      <c r="D172" s="59">
        <f>SUM(C168:C172)</f>
        <v>130</v>
      </c>
    </row>
    <row r="173" spans="2:4" x14ac:dyDescent="0.3">
      <c r="B173" s="33" t="s">
        <v>263</v>
      </c>
      <c r="C173" s="34">
        <v>150</v>
      </c>
      <c r="D173" s="59"/>
    </row>
    <row r="174" spans="2:4" x14ac:dyDescent="0.3">
      <c r="B174" s="33" t="s">
        <v>264</v>
      </c>
      <c r="C174" s="34">
        <v>110</v>
      </c>
      <c r="D174" s="59"/>
    </row>
    <row r="175" spans="2:4" x14ac:dyDescent="0.3">
      <c r="B175" s="33" t="s">
        <v>265</v>
      </c>
      <c r="C175" s="34">
        <v>40</v>
      </c>
      <c r="D175" s="59"/>
    </row>
    <row r="176" spans="2:4" x14ac:dyDescent="0.3">
      <c r="B176" s="33" t="s">
        <v>482</v>
      </c>
      <c r="C176" s="34">
        <v>89</v>
      </c>
      <c r="D176" s="59"/>
    </row>
    <row r="177" spans="2:4" x14ac:dyDescent="0.3">
      <c r="B177" s="33" t="s">
        <v>483</v>
      </c>
      <c r="C177" s="34">
        <v>123</v>
      </c>
      <c r="D177" s="59"/>
    </row>
    <row r="178" spans="2:4" x14ac:dyDescent="0.3">
      <c r="B178" s="41"/>
      <c r="C178" s="34"/>
      <c r="D178" s="59"/>
    </row>
    <row r="179" spans="2:4" x14ac:dyDescent="0.3">
      <c r="B179" s="33" t="s">
        <v>266</v>
      </c>
      <c r="C179" s="34">
        <v>350</v>
      </c>
      <c r="D179" s="59"/>
    </row>
    <row r="180" spans="2:4" x14ac:dyDescent="0.3">
      <c r="B180" s="35" t="s">
        <v>400</v>
      </c>
      <c r="C180" s="52">
        <v>70</v>
      </c>
      <c r="D180" s="59"/>
    </row>
    <row r="181" spans="2:4" x14ac:dyDescent="0.3">
      <c r="B181" s="35" t="s">
        <v>401</v>
      </c>
      <c r="C181" s="52">
        <v>60</v>
      </c>
      <c r="D181" s="59"/>
    </row>
    <row r="182" spans="2:4" x14ac:dyDescent="0.3">
      <c r="B182" s="35" t="s">
        <v>402</v>
      </c>
      <c r="C182" s="52">
        <v>50</v>
      </c>
      <c r="D182" s="59"/>
    </row>
    <row r="183" spans="2:4" x14ac:dyDescent="0.3">
      <c r="B183" s="35" t="s">
        <v>403</v>
      </c>
      <c r="C183" s="52">
        <v>15</v>
      </c>
      <c r="D183" s="59"/>
    </row>
    <row r="184" spans="2:4" x14ac:dyDescent="0.3">
      <c r="B184" s="35" t="s">
        <v>404</v>
      </c>
      <c r="C184" s="52">
        <v>5</v>
      </c>
      <c r="D184" s="59"/>
    </row>
    <row r="185" spans="2:4" x14ac:dyDescent="0.3">
      <c r="B185" s="35" t="s">
        <v>405</v>
      </c>
      <c r="C185" s="52">
        <v>15</v>
      </c>
      <c r="D185" s="59"/>
    </row>
    <row r="186" spans="2:4" x14ac:dyDescent="0.3">
      <c r="B186" s="35" t="s">
        <v>406</v>
      </c>
      <c r="C186" s="52">
        <v>10</v>
      </c>
      <c r="D186" s="59"/>
    </row>
    <row r="187" spans="2:4" x14ac:dyDescent="0.3">
      <c r="B187" s="35" t="s">
        <v>407</v>
      </c>
      <c r="C187" s="52">
        <v>10</v>
      </c>
      <c r="D187" s="59"/>
    </row>
    <row r="188" spans="2:4" x14ac:dyDescent="0.3">
      <c r="B188" s="35" t="s">
        <v>408</v>
      </c>
      <c r="C188" s="52">
        <v>5</v>
      </c>
      <c r="D188" s="59"/>
    </row>
    <row r="189" spans="2:4" x14ac:dyDescent="0.3">
      <c r="B189" s="35" t="s">
        <v>409</v>
      </c>
      <c r="C189" s="52">
        <v>10</v>
      </c>
      <c r="D189" s="59"/>
    </row>
    <row r="190" spans="2:4" x14ac:dyDescent="0.3">
      <c r="B190" s="35" t="s">
        <v>392</v>
      </c>
      <c r="C190" s="52">
        <v>80</v>
      </c>
      <c r="D190" s="59"/>
    </row>
    <row r="191" spans="2:4" x14ac:dyDescent="0.3">
      <c r="B191" s="35" t="s">
        <v>399</v>
      </c>
      <c r="C191" s="52">
        <v>20</v>
      </c>
      <c r="D191" s="59">
        <f>SUM(C180:C191)</f>
        <v>350</v>
      </c>
    </row>
    <row r="192" spans="2:4" x14ac:dyDescent="0.3">
      <c r="B192" s="33" t="s">
        <v>267</v>
      </c>
      <c r="C192" s="34">
        <v>149</v>
      </c>
      <c r="D192" s="59"/>
    </row>
    <row r="193" spans="2:4" x14ac:dyDescent="0.3">
      <c r="B193" s="33" t="s">
        <v>268</v>
      </c>
      <c r="C193" s="34">
        <v>149</v>
      </c>
      <c r="D193" s="59"/>
    </row>
    <row r="194" spans="2:4" x14ac:dyDescent="0.3">
      <c r="B194" s="33" t="s">
        <v>269</v>
      </c>
      <c r="C194" s="34">
        <v>190</v>
      </c>
      <c r="D194" s="59"/>
    </row>
    <row r="195" spans="2:4" x14ac:dyDescent="0.3">
      <c r="B195" s="33" t="s">
        <v>270</v>
      </c>
      <c r="C195" s="34">
        <v>250</v>
      </c>
      <c r="D195" s="59"/>
    </row>
    <row r="196" spans="2:4" x14ac:dyDescent="0.3">
      <c r="B196" s="33" t="s">
        <v>271</v>
      </c>
      <c r="C196" s="34">
        <v>110</v>
      </c>
      <c r="D196" s="59"/>
    </row>
    <row r="197" spans="2:4" x14ac:dyDescent="0.3">
      <c r="B197" s="33" t="s">
        <v>272</v>
      </c>
      <c r="C197" s="34">
        <v>25</v>
      </c>
      <c r="D197" s="59"/>
    </row>
    <row r="198" spans="2:4" x14ac:dyDescent="0.3">
      <c r="B198" s="33" t="s">
        <v>273</v>
      </c>
      <c r="C198" s="34">
        <v>115</v>
      </c>
      <c r="D198" s="59"/>
    </row>
    <row r="199" spans="2:4" x14ac:dyDescent="0.3">
      <c r="B199" s="33" t="s">
        <v>274</v>
      </c>
      <c r="C199" s="34">
        <v>5</v>
      </c>
      <c r="D199" s="59"/>
    </row>
    <row r="200" spans="2:4" x14ac:dyDescent="0.3">
      <c r="B200" s="33" t="s">
        <v>275</v>
      </c>
      <c r="C200" s="34">
        <v>215</v>
      </c>
      <c r="D200" s="59"/>
    </row>
    <row r="201" spans="2:4" x14ac:dyDescent="0.3">
      <c r="B201" s="33" t="s">
        <v>276</v>
      </c>
      <c r="C201" s="34">
        <v>249</v>
      </c>
      <c r="D201" s="59"/>
    </row>
    <row r="202" spans="2:4" x14ac:dyDescent="0.3">
      <c r="B202" s="33" t="s">
        <v>277</v>
      </c>
      <c r="C202" s="34">
        <v>23</v>
      </c>
      <c r="D202" s="59"/>
    </row>
    <row r="203" spans="2:4" x14ac:dyDescent="0.3">
      <c r="B203" s="33" t="s">
        <v>278</v>
      </c>
      <c r="C203" s="34">
        <v>150</v>
      </c>
      <c r="D203" s="59"/>
    </row>
    <row r="204" spans="2:4" x14ac:dyDescent="0.3">
      <c r="B204" s="33" t="s">
        <v>279</v>
      </c>
      <c r="C204" s="34">
        <v>105</v>
      </c>
      <c r="D204" s="59"/>
    </row>
    <row r="205" spans="2:4" x14ac:dyDescent="0.3">
      <c r="B205" s="33" t="s">
        <v>280</v>
      </c>
      <c r="C205" s="34">
        <v>80</v>
      </c>
      <c r="D205" s="59"/>
    </row>
    <row r="206" spans="2:4" x14ac:dyDescent="0.3">
      <c r="B206" s="33" t="s">
        <v>281</v>
      </c>
      <c r="C206" s="34">
        <v>120</v>
      </c>
      <c r="D206" s="59"/>
    </row>
    <row r="207" spans="2:4" x14ac:dyDescent="0.3">
      <c r="B207" s="41"/>
      <c r="C207" s="34"/>
      <c r="D207" s="59"/>
    </row>
    <row r="208" spans="2:4" x14ac:dyDescent="0.3">
      <c r="B208" s="33" t="s">
        <v>282</v>
      </c>
      <c r="C208" s="34">
        <v>40</v>
      </c>
      <c r="D208" s="59"/>
    </row>
    <row r="209" spans="2:4" x14ac:dyDescent="0.3">
      <c r="B209" s="33" t="s">
        <v>283</v>
      </c>
      <c r="C209" s="34">
        <v>13</v>
      </c>
      <c r="D209" s="59"/>
    </row>
    <row r="210" spans="2:4" x14ac:dyDescent="0.3">
      <c r="B210" s="33" t="s">
        <v>284</v>
      </c>
      <c r="C210" s="34">
        <v>25</v>
      </c>
      <c r="D210" s="59"/>
    </row>
    <row r="211" spans="2:4" x14ac:dyDescent="0.3">
      <c r="B211" s="33" t="s">
        <v>285</v>
      </c>
      <c r="C211" s="34">
        <v>60</v>
      </c>
      <c r="D211" s="59"/>
    </row>
    <row r="212" spans="2:4" x14ac:dyDescent="0.3">
      <c r="B212" s="35" t="s">
        <v>410</v>
      </c>
      <c r="C212" s="52">
        <v>90</v>
      </c>
      <c r="D212" s="59"/>
    </row>
    <row r="213" spans="2:4" x14ac:dyDescent="0.3">
      <c r="B213" s="33" t="s">
        <v>286</v>
      </c>
      <c r="C213" s="34">
        <v>29</v>
      </c>
      <c r="D213" s="59"/>
    </row>
    <row r="214" spans="2:4" x14ac:dyDescent="0.3">
      <c r="B214" s="33" t="s">
        <v>287</v>
      </c>
      <c r="C214" s="34">
        <v>10</v>
      </c>
      <c r="D214" s="59"/>
    </row>
    <row r="215" spans="2:4" x14ac:dyDescent="0.3">
      <c r="B215" s="41"/>
      <c r="C215" s="34"/>
      <c r="D215" s="59"/>
    </row>
    <row r="216" spans="2:4" x14ac:dyDescent="0.3">
      <c r="B216" s="33" t="s">
        <v>288</v>
      </c>
      <c r="C216" s="34">
        <v>5</v>
      </c>
      <c r="D216" s="59"/>
    </row>
    <row r="217" spans="2:4" x14ac:dyDescent="0.3">
      <c r="B217" s="33" t="s">
        <v>289</v>
      </c>
      <c r="C217" s="34">
        <v>11</v>
      </c>
      <c r="D217" s="59"/>
    </row>
    <row r="218" spans="2:4" x14ac:dyDescent="0.3">
      <c r="B218" s="33" t="s">
        <v>290</v>
      </c>
      <c r="C218" s="34">
        <v>9</v>
      </c>
      <c r="D218" s="59"/>
    </row>
    <row r="219" spans="2:4" x14ac:dyDescent="0.3">
      <c r="B219" s="33" t="s">
        <v>291</v>
      </c>
      <c r="C219" s="34">
        <v>16</v>
      </c>
      <c r="D219" s="59"/>
    </row>
    <row r="220" spans="2:4" x14ac:dyDescent="0.3">
      <c r="B220" s="33" t="s">
        <v>292</v>
      </c>
      <c r="C220" s="34">
        <v>40</v>
      </c>
      <c r="D220" s="59"/>
    </row>
    <row r="221" spans="2:4" x14ac:dyDescent="0.3">
      <c r="B221" s="56" t="s">
        <v>484</v>
      </c>
      <c r="C221" s="52">
        <v>10</v>
      </c>
      <c r="D221" s="59"/>
    </row>
    <row r="222" spans="2:4" x14ac:dyDescent="0.3">
      <c r="B222" s="56" t="s">
        <v>485</v>
      </c>
      <c r="C222" s="52">
        <v>30</v>
      </c>
      <c r="D222" s="59"/>
    </row>
    <row r="223" spans="2:4" x14ac:dyDescent="0.3">
      <c r="B223" s="33"/>
      <c r="C223" s="34"/>
      <c r="D223" s="59"/>
    </row>
    <row r="224" spans="2:4" x14ac:dyDescent="0.3">
      <c r="B224" s="33" t="s">
        <v>20</v>
      </c>
      <c r="C224" s="34">
        <v>64.59</v>
      </c>
      <c r="D224" s="59"/>
    </row>
    <row r="225" spans="2:4" x14ac:dyDescent="0.3">
      <c r="B225" s="42" t="s">
        <v>411</v>
      </c>
      <c r="C225" s="34"/>
      <c r="D225" s="59"/>
    </row>
    <row r="226" spans="2:4" x14ac:dyDescent="0.3">
      <c r="B226" s="33" t="s">
        <v>412</v>
      </c>
      <c r="C226" s="34">
        <v>58.1</v>
      </c>
      <c r="D226" s="59"/>
    </row>
    <row r="227" spans="2:4" x14ac:dyDescent="0.3">
      <c r="B227" s="42" t="s">
        <v>411</v>
      </c>
      <c r="C227" s="34"/>
      <c r="D227" s="59"/>
    </row>
    <row r="228" spans="2:4" x14ac:dyDescent="0.3">
      <c r="B228" s="33" t="s">
        <v>25</v>
      </c>
      <c r="C228" s="34">
        <v>51.04</v>
      </c>
      <c r="D228" s="59"/>
    </row>
    <row r="229" spans="2:4" x14ac:dyDescent="0.3">
      <c r="B229" s="42" t="s">
        <v>411</v>
      </c>
      <c r="C229" s="34"/>
      <c r="D229" s="59"/>
    </row>
    <row r="230" spans="2:4" x14ac:dyDescent="0.3">
      <c r="B230" s="33" t="s">
        <v>413</v>
      </c>
      <c r="C230" s="34">
        <v>19.2</v>
      </c>
      <c r="D230" s="59"/>
    </row>
    <row r="231" spans="2:4" x14ac:dyDescent="0.3">
      <c r="B231" s="42" t="s">
        <v>411</v>
      </c>
      <c r="C231" s="34"/>
      <c r="D231" s="59"/>
    </row>
    <row r="232" spans="2:4" x14ac:dyDescent="0.3">
      <c r="B232" s="33" t="s">
        <v>297</v>
      </c>
      <c r="C232" s="34">
        <v>22</v>
      </c>
      <c r="D232" s="59"/>
    </row>
    <row r="233" spans="2:4" x14ac:dyDescent="0.3">
      <c r="B233" s="42" t="s">
        <v>411</v>
      </c>
      <c r="C233" s="34"/>
      <c r="D233" s="59"/>
    </row>
    <row r="234" spans="2:4" x14ac:dyDescent="0.3">
      <c r="B234" s="33" t="s">
        <v>24</v>
      </c>
      <c r="C234" s="34">
        <v>64.95</v>
      </c>
      <c r="D234" s="59"/>
    </row>
    <row r="235" spans="2:4" x14ac:dyDescent="0.3">
      <c r="B235" s="42" t="s">
        <v>411</v>
      </c>
      <c r="C235" s="34"/>
      <c r="D235" s="59"/>
    </row>
    <row r="236" spans="2:4" x14ac:dyDescent="0.3">
      <c r="B236" s="42"/>
      <c r="C236" s="34"/>
      <c r="D236" s="59"/>
    </row>
    <row r="237" spans="2:4" x14ac:dyDescent="0.3">
      <c r="B237" s="33" t="s">
        <v>299</v>
      </c>
      <c r="C237" s="34">
        <v>5</v>
      </c>
      <c r="D237" s="59"/>
    </row>
    <row r="238" spans="2:4" x14ac:dyDescent="0.3">
      <c r="B238" s="33" t="s">
        <v>414</v>
      </c>
      <c r="C238" s="34">
        <v>9</v>
      </c>
      <c r="D238" s="59"/>
    </row>
    <row r="239" spans="2:4" x14ac:dyDescent="0.3">
      <c r="B239" s="33" t="s">
        <v>415</v>
      </c>
      <c r="C239" s="34">
        <v>12</v>
      </c>
      <c r="D239" s="59"/>
    </row>
    <row r="240" spans="2:4" x14ac:dyDescent="0.3">
      <c r="B240" s="33" t="s">
        <v>416</v>
      </c>
      <c r="C240" s="34">
        <v>15</v>
      </c>
      <c r="D240" s="59"/>
    </row>
    <row r="241" spans="2:4" x14ac:dyDescent="0.3">
      <c r="B241" s="33" t="s">
        <v>417</v>
      </c>
      <c r="C241" s="34">
        <v>20</v>
      </c>
      <c r="D241" s="59"/>
    </row>
    <row r="242" spans="2:4" x14ac:dyDescent="0.3">
      <c r="B242" s="33" t="s">
        <v>418</v>
      </c>
      <c r="C242" s="34">
        <v>40</v>
      </c>
      <c r="D242" s="59"/>
    </row>
    <row r="243" spans="2:4" x14ac:dyDescent="0.3">
      <c r="B243" s="33"/>
      <c r="C243" s="34"/>
      <c r="D243" s="59"/>
    </row>
    <row r="244" spans="2:4" x14ac:dyDescent="0.3">
      <c r="B244" s="33" t="s">
        <v>419</v>
      </c>
      <c r="C244" s="34">
        <v>15</v>
      </c>
      <c r="D244" s="59"/>
    </row>
    <row r="245" spans="2:4" x14ac:dyDescent="0.3">
      <c r="B245" s="33" t="s">
        <v>420</v>
      </c>
      <c r="C245" s="34">
        <v>7.5</v>
      </c>
      <c r="D245" s="59"/>
    </row>
    <row r="246" spans="2:4" x14ac:dyDescent="0.3">
      <c r="B246" s="33" t="s">
        <v>421</v>
      </c>
      <c r="C246" s="34">
        <v>80</v>
      </c>
      <c r="D246" s="59"/>
    </row>
    <row r="247" spans="2:4" x14ac:dyDescent="0.3">
      <c r="B247" s="33" t="s">
        <v>422</v>
      </c>
      <c r="C247" s="34">
        <v>60</v>
      </c>
      <c r="D247" s="59"/>
    </row>
    <row r="248" spans="2:4" x14ac:dyDescent="0.3">
      <c r="B248" s="33"/>
      <c r="C248" s="34"/>
      <c r="D248" s="59"/>
    </row>
    <row r="249" spans="2:4" x14ac:dyDescent="0.3">
      <c r="B249" s="33" t="s">
        <v>423</v>
      </c>
      <c r="C249" s="34">
        <v>25</v>
      </c>
      <c r="D249" s="59"/>
    </row>
    <row r="250" spans="2:4" x14ac:dyDescent="0.3">
      <c r="B250" s="33" t="s">
        <v>424</v>
      </c>
      <c r="C250" s="34"/>
      <c r="D250" s="59"/>
    </row>
    <row r="251" spans="2:4" x14ac:dyDescent="0.3">
      <c r="B251" s="33" t="s">
        <v>425</v>
      </c>
      <c r="C251" s="34">
        <v>29</v>
      </c>
      <c r="D251" s="59"/>
    </row>
    <row r="252" spans="2:4" x14ac:dyDescent="0.3">
      <c r="B252" s="33" t="s">
        <v>426</v>
      </c>
      <c r="C252" s="34">
        <v>40</v>
      </c>
      <c r="D252" s="59"/>
    </row>
    <row r="253" spans="2:4" x14ac:dyDescent="0.3">
      <c r="B253" s="33" t="s">
        <v>427</v>
      </c>
      <c r="C253" s="34">
        <v>5</v>
      </c>
      <c r="D253" s="59"/>
    </row>
    <row r="254" spans="2:4" x14ac:dyDescent="0.3">
      <c r="B254" s="33" t="s">
        <v>428</v>
      </c>
      <c r="C254" s="34">
        <v>15</v>
      </c>
      <c r="D254" s="59"/>
    </row>
    <row r="255" spans="2:4" x14ac:dyDescent="0.3">
      <c r="B255" s="33" t="s">
        <v>429</v>
      </c>
      <c r="C255" s="34">
        <v>20</v>
      </c>
      <c r="D255" s="59"/>
    </row>
    <row r="256" spans="2:4" x14ac:dyDescent="0.3">
      <c r="B256" s="33" t="s">
        <v>430</v>
      </c>
      <c r="C256" s="34">
        <v>65</v>
      </c>
      <c r="D256" s="59"/>
    </row>
    <row r="257" spans="2:4" x14ac:dyDescent="0.3">
      <c r="B257" s="33" t="s">
        <v>431</v>
      </c>
      <c r="C257" s="34">
        <v>78</v>
      </c>
      <c r="D257" s="59"/>
    </row>
    <row r="258" spans="2:4" x14ac:dyDescent="0.3">
      <c r="B258" s="33" t="s">
        <v>432</v>
      </c>
      <c r="C258" s="34">
        <v>25</v>
      </c>
      <c r="D258" s="59"/>
    </row>
    <row r="259" spans="2:4" x14ac:dyDescent="0.3">
      <c r="B259" s="33" t="s">
        <v>310</v>
      </c>
      <c r="C259" s="34">
        <v>30</v>
      </c>
      <c r="D259" s="59"/>
    </row>
    <row r="260" spans="2:4" x14ac:dyDescent="0.3">
      <c r="B260" s="33" t="s">
        <v>433</v>
      </c>
      <c r="C260" s="34">
        <v>3</v>
      </c>
      <c r="D260" s="59"/>
    </row>
    <row r="261" spans="2:4" x14ac:dyDescent="0.3">
      <c r="B261" s="41"/>
      <c r="C261" s="34"/>
      <c r="D261" s="59"/>
    </row>
    <row r="262" spans="2:4" x14ac:dyDescent="0.3">
      <c r="B262" s="33" t="s">
        <v>316</v>
      </c>
      <c r="C262" s="34">
        <v>154</v>
      </c>
      <c r="D262" s="59"/>
    </row>
    <row r="263" spans="2:4" x14ac:dyDescent="0.3">
      <c r="B263" s="33" t="s">
        <v>317</v>
      </c>
      <c r="C263" s="34">
        <v>215.17</v>
      </c>
      <c r="D263" s="59"/>
    </row>
    <row r="264" spans="2:4" x14ac:dyDescent="0.3">
      <c r="B264" s="33" t="s">
        <v>434</v>
      </c>
      <c r="C264" s="34">
        <v>210.79</v>
      </c>
      <c r="D264" s="59"/>
    </row>
    <row r="265" spans="2:4" x14ac:dyDescent="0.3">
      <c r="B265" s="33" t="s">
        <v>435</v>
      </c>
      <c r="C265" s="34">
        <v>90.33</v>
      </c>
      <c r="D265" s="59"/>
    </row>
    <row r="266" spans="2:4" x14ac:dyDescent="0.3">
      <c r="B266" s="33" t="s">
        <v>318</v>
      </c>
      <c r="C266" s="34">
        <v>134.9</v>
      </c>
      <c r="D266" s="59"/>
    </row>
    <row r="267" spans="2:4" x14ac:dyDescent="0.3">
      <c r="B267" s="33" t="s">
        <v>319</v>
      </c>
      <c r="C267" s="34">
        <v>126.47</v>
      </c>
      <c r="D267" s="59"/>
    </row>
    <row r="268" spans="2:4" x14ac:dyDescent="0.3">
      <c r="B268" s="33" t="s">
        <v>320</v>
      </c>
      <c r="C268" s="34">
        <v>197.53</v>
      </c>
      <c r="D268" s="59"/>
    </row>
    <row r="269" spans="2:4" x14ac:dyDescent="0.3">
      <c r="B269" s="33" t="s">
        <v>321</v>
      </c>
      <c r="C269" s="34">
        <v>197.53</v>
      </c>
      <c r="D269" s="59"/>
    </row>
    <row r="270" spans="2:4" x14ac:dyDescent="0.3">
      <c r="B270" s="33" t="s">
        <v>322</v>
      </c>
      <c r="C270" s="34">
        <v>32</v>
      </c>
      <c r="D270" s="59"/>
    </row>
    <row r="271" spans="2:4" x14ac:dyDescent="0.3">
      <c r="B271" s="41"/>
      <c r="C271" s="34"/>
      <c r="D271" s="59"/>
    </row>
    <row r="272" spans="2:4" x14ac:dyDescent="0.3">
      <c r="B272" s="33" t="s">
        <v>323</v>
      </c>
      <c r="C272" s="34">
        <v>32.200000000000003</v>
      </c>
      <c r="D272" s="59"/>
    </row>
    <row r="273" spans="2:4" x14ac:dyDescent="0.3">
      <c r="B273" s="33" t="s">
        <v>324</v>
      </c>
      <c r="C273" s="34">
        <v>61.73</v>
      </c>
      <c r="D273" s="59"/>
    </row>
    <row r="274" spans="2:4" x14ac:dyDescent="0.3">
      <c r="B274" s="33" t="s">
        <v>325</v>
      </c>
      <c r="C274" s="34">
        <v>96.62</v>
      </c>
      <c r="D274" s="59"/>
    </row>
    <row r="275" spans="2:4" x14ac:dyDescent="0.3">
      <c r="B275" s="33" t="s">
        <v>326</v>
      </c>
      <c r="C275" s="34">
        <v>74.3</v>
      </c>
      <c r="D275" s="59"/>
    </row>
    <row r="276" spans="2:4" x14ac:dyDescent="0.3">
      <c r="B276" s="41"/>
      <c r="C276" s="34"/>
      <c r="D276" s="59"/>
    </row>
    <row r="277" spans="2:4" x14ac:dyDescent="0.3">
      <c r="B277" s="33" t="s">
        <v>436</v>
      </c>
      <c r="C277" s="34">
        <v>20.13</v>
      </c>
      <c r="D277" s="59"/>
    </row>
    <row r="278" spans="2:4" x14ac:dyDescent="0.3">
      <c r="B278" s="33" t="s">
        <v>437</v>
      </c>
      <c r="C278" s="34">
        <v>66.25</v>
      </c>
      <c r="D278" s="59"/>
    </row>
    <row r="279" spans="2:4" x14ac:dyDescent="0.3">
      <c r="B279" s="33"/>
      <c r="C279" s="34"/>
      <c r="D279" s="59"/>
    </row>
    <row r="280" spans="2:4" x14ac:dyDescent="0.3">
      <c r="B280" s="33" t="s">
        <v>438</v>
      </c>
      <c r="C280" s="34">
        <v>21</v>
      </c>
      <c r="D280" s="59"/>
    </row>
    <row r="281" spans="2:4" x14ac:dyDescent="0.3">
      <c r="B281" s="33" t="s">
        <v>439</v>
      </c>
      <c r="C281" s="34">
        <v>43.1</v>
      </c>
      <c r="D281" s="59"/>
    </row>
    <row r="282" spans="2:4" x14ac:dyDescent="0.3">
      <c r="B282" s="33" t="s">
        <v>440</v>
      </c>
      <c r="C282" s="34">
        <v>33</v>
      </c>
      <c r="D282" s="59"/>
    </row>
    <row r="283" spans="2:4" x14ac:dyDescent="0.3">
      <c r="B283" s="33"/>
      <c r="C283" s="34"/>
      <c r="D283" s="59"/>
    </row>
    <row r="284" spans="2:4" x14ac:dyDescent="0.3">
      <c r="B284" s="33" t="s">
        <v>331</v>
      </c>
      <c r="C284" s="34">
        <v>22.3</v>
      </c>
      <c r="D284" s="59"/>
    </row>
    <row r="285" spans="2:4" x14ac:dyDescent="0.3">
      <c r="B285" s="33" t="s">
        <v>332</v>
      </c>
      <c r="C285" s="34">
        <v>38.72</v>
      </c>
      <c r="D285" s="59"/>
    </row>
    <row r="286" spans="2:4" x14ac:dyDescent="0.3">
      <c r="B286" s="33" t="s">
        <v>333</v>
      </c>
      <c r="C286" s="34">
        <v>195.8</v>
      </c>
      <c r="D286" s="59"/>
    </row>
    <row r="287" spans="2:4" x14ac:dyDescent="0.3">
      <c r="B287" s="33" t="s">
        <v>334</v>
      </c>
      <c r="C287" s="34">
        <v>42.02</v>
      </c>
      <c r="D287" s="59"/>
    </row>
    <row r="288" spans="2:4" x14ac:dyDescent="0.3">
      <c r="B288" s="33" t="s">
        <v>335</v>
      </c>
      <c r="C288" s="34">
        <v>221</v>
      </c>
      <c r="D288" s="59"/>
    </row>
    <row r="289" spans="2:4" x14ac:dyDescent="0.3">
      <c r="B289" s="41"/>
      <c r="C289" s="34"/>
      <c r="D289" s="59"/>
    </row>
    <row r="290" spans="2:4" x14ac:dyDescent="0.3">
      <c r="B290" s="33" t="s">
        <v>336</v>
      </c>
      <c r="C290" s="34">
        <v>22.3</v>
      </c>
      <c r="D290" s="59"/>
    </row>
    <row r="291" spans="2:4" x14ac:dyDescent="0.3">
      <c r="B291" s="33" t="s">
        <v>337</v>
      </c>
      <c r="C291" s="34">
        <v>29</v>
      </c>
      <c r="D291" s="59"/>
    </row>
    <row r="292" spans="2:4" x14ac:dyDescent="0.3">
      <c r="B292" s="33" t="s">
        <v>338</v>
      </c>
      <c r="C292" s="34">
        <v>165.38</v>
      </c>
      <c r="D292" s="59"/>
    </row>
    <row r="293" spans="2:4" x14ac:dyDescent="0.3">
      <c r="B293" s="33" t="s">
        <v>339</v>
      </c>
      <c r="C293" s="34">
        <v>102</v>
      </c>
      <c r="D293" s="59"/>
    </row>
    <row r="294" spans="2:4" x14ac:dyDescent="0.3">
      <c r="B294" s="41"/>
      <c r="C294" s="34"/>
      <c r="D294" s="59"/>
    </row>
    <row r="295" spans="2:4" x14ac:dyDescent="0.3">
      <c r="B295" s="33" t="s">
        <v>340</v>
      </c>
      <c r="C295" s="34">
        <v>39.08</v>
      </c>
      <c r="D295" s="59"/>
    </row>
    <row r="296" spans="2:4" x14ac:dyDescent="0.3">
      <c r="B296" s="33" t="s">
        <v>341</v>
      </c>
      <c r="C296" s="34">
        <v>24</v>
      </c>
      <c r="D296" s="59"/>
    </row>
    <row r="297" spans="2:4" x14ac:dyDescent="0.3">
      <c r="B297" s="33" t="s">
        <v>342</v>
      </c>
      <c r="C297" s="34">
        <v>139.38</v>
      </c>
      <c r="D297" s="59"/>
    </row>
    <row r="298" spans="2:4" x14ac:dyDescent="0.3">
      <c r="B298" s="33" t="s">
        <v>343</v>
      </c>
      <c r="C298" s="34">
        <v>0</v>
      </c>
      <c r="D298" s="59"/>
    </row>
    <row r="299" spans="2:4" x14ac:dyDescent="0.3">
      <c r="B299" s="33" t="s">
        <v>344</v>
      </c>
      <c r="C299" s="34">
        <v>0</v>
      </c>
      <c r="D299" s="59"/>
    </row>
    <row r="300" spans="2:4" x14ac:dyDescent="0.3">
      <c r="B300" s="33" t="s">
        <v>345</v>
      </c>
      <c r="C300" s="34">
        <v>33.39</v>
      </c>
      <c r="D300" s="59"/>
    </row>
    <row r="301" spans="2:4" x14ac:dyDescent="0.3">
      <c r="B301" s="41"/>
      <c r="C301" s="34"/>
      <c r="D301" s="59"/>
    </row>
    <row r="302" spans="2:4" x14ac:dyDescent="0.3">
      <c r="B302" s="33" t="s">
        <v>346</v>
      </c>
      <c r="C302" s="34">
        <v>40.26</v>
      </c>
      <c r="D302" s="59"/>
    </row>
    <row r="303" spans="2:4" x14ac:dyDescent="0.3">
      <c r="B303" s="33" t="s">
        <v>347</v>
      </c>
      <c r="C303" s="34">
        <v>30</v>
      </c>
      <c r="D303" s="59"/>
    </row>
    <row r="304" spans="2:4" x14ac:dyDescent="0.3">
      <c r="B304" s="33" t="s">
        <v>348</v>
      </c>
      <c r="C304" s="34">
        <v>103</v>
      </c>
      <c r="D304" s="59"/>
    </row>
    <row r="305" spans="2:4" x14ac:dyDescent="0.3">
      <c r="B305" s="33" t="s">
        <v>349</v>
      </c>
      <c r="C305" s="34">
        <v>86.48</v>
      </c>
      <c r="D305" s="59"/>
    </row>
    <row r="306" spans="2:4" x14ac:dyDescent="0.3">
      <c r="B306" s="33" t="s">
        <v>350</v>
      </c>
      <c r="C306" s="34"/>
      <c r="D306" s="59"/>
    </row>
    <row r="307" spans="2:4" x14ac:dyDescent="0.3">
      <c r="B307" s="33" t="s">
        <v>441</v>
      </c>
      <c r="C307" s="34">
        <v>54.35</v>
      </c>
      <c r="D307" s="59"/>
    </row>
    <row r="308" spans="2:4" x14ac:dyDescent="0.3">
      <c r="B308" s="41"/>
      <c r="C308" s="34"/>
      <c r="D308" s="59"/>
    </row>
    <row r="309" spans="2:4" x14ac:dyDescent="0.3">
      <c r="B309" s="33" t="s">
        <v>442</v>
      </c>
      <c r="C309" s="34">
        <v>40</v>
      </c>
      <c r="D309" s="59"/>
    </row>
    <row r="310" spans="2:4" x14ac:dyDescent="0.3">
      <c r="B310" s="33" t="s">
        <v>443</v>
      </c>
      <c r="C310" s="34">
        <v>40</v>
      </c>
      <c r="D310" s="59"/>
    </row>
    <row r="311" spans="2:4" x14ac:dyDescent="0.3">
      <c r="B311" s="33" t="s">
        <v>354</v>
      </c>
      <c r="C311" s="34">
        <v>72</v>
      </c>
      <c r="D311" s="59"/>
    </row>
    <row r="312" spans="2:4" x14ac:dyDescent="0.3">
      <c r="B312" s="41"/>
      <c r="C312" s="34"/>
      <c r="D312" s="59"/>
    </row>
    <row r="313" spans="2:4" x14ac:dyDescent="0.3">
      <c r="B313" s="33" t="s">
        <v>444</v>
      </c>
      <c r="C313" s="34">
        <v>123</v>
      </c>
      <c r="D313" s="59"/>
    </row>
    <row r="314" spans="2:4" x14ac:dyDescent="0.3">
      <c r="B314" s="41"/>
      <c r="C314" s="34"/>
      <c r="D314" s="59"/>
    </row>
    <row r="315" spans="2:4" x14ac:dyDescent="0.3">
      <c r="B315" s="33" t="s">
        <v>445</v>
      </c>
      <c r="C315" s="34">
        <v>144.32</v>
      </c>
      <c r="D315" s="59"/>
    </row>
    <row r="316" spans="2:4" x14ac:dyDescent="0.3">
      <c r="B316" s="33" t="s">
        <v>446</v>
      </c>
      <c r="C316" s="34">
        <v>170</v>
      </c>
      <c r="D316" s="59"/>
    </row>
    <row r="317" spans="2:4" x14ac:dyDescent="0.3">
      <c r="B317" s="33" t="s">
        <v>447</v>
      </c>
      <c r="C317" s="34">
        <v>30</v>
      </c>
      <c r="D317" s="59"/>
    </row>
    <row r="318" spans="2:4" x14ac:dyDescent="0.3">
      <c r="B318" s="33" t="s">
        <v>448</v>
      </c>
      <c r="C318" s="34">
        <v>8</v>
      </c>
      <c r="D318" s="59"/>
    </row>
    <row r="319" spans="2:4" x14ac:dyDescent="0.3">
      <c r="B319" s="33" t="s">
        <v>449</v>
      </c>
      <c r="C319" s="34">
        <v>49.81</v>
      </c>
      <c r="D319" s="59"/>
    </row>
    <row r="320" spans="2:4" x14ac:dyDescent="0.3">
      <c r="B320" s="41"/>
      <c r="C320" s="34"/>
      <c r="D320" s="59"/>
    </row>
    <row r="321" spans="2:4" x14ac:dyDescent="0.3">
      <c r="B321" s="33" t="s">
        <v>450</v>
      </c>
      <c r="C321" s="34">
        <v>66.25</v>
      </c>
      <c r="D321" s="59"/>
    </row>
    <row r="322" spans="2:4" x14ac:dyDescent="0.3">
      <c r="B322" s="33" t="s">
        <v>451</v>
      </c>
      <c r="C322" s="34">
        <v>26.84</v>
      </c>
      <c r="D322" s="59"/>
    </row>
    <row r="323" spans="2:4" x14ac:dyDescent="0.3">
      <c r="B323" s="41"/>
      <c r="C323" s="34"/>
      <c r="D323" s="59"/>
    </row>
    <row r="324" spans="2:4" x14ac:dyDescent="0.3">
      <c r="B324" s="33" t="s">
        <v>452</v>
      </c>
      <c r="C324" s="34">
        <v>20.13</v>
      </c>
      <c r="D324" s="59"/>
    </row>
    <row r="325" spans="2:4" x14ac:dyDescent="0.3">
      <c r="B325" s="33" t="s">
        <v>453</v>
      </c>
      <c r="C325" s="34">
        <v>90.34</v>
      </c>
      <c r="D325" s="59"/>
    </row>
    <row r="326" spans="2:4" x14ac:dyDescent="0.3">
      <c r="B326" s="33" t="s">
        <v>454</v>
      </c>
      <c r="C326" s="34">
        <v>72.27</v>
      </c>
      <c r="D326" s="59"/>
    </row>
    <row r="327" spans="2:4" x14ac:dyDescent="0.3">
      <c r="B327" s="33" t="s">
        <v>455</v>
      </c>
      <c r="C327" s="34">
        <v>108.41</v>
      </c>
      <c r="D327" s="59"/>
    </row>
    <row r="328" spans="2:4" x14ac:dyDescent="0.3">
      <c r="B328" s="41"/>
      <c r="C328" s="34"/>
      <c r="D328" s="59"/>
    </row>
    <row r="329" spans="2:4" x14ac:dyDescent="0.3">
      <c r="B329" s="33" t="s">
        <v>361</v>
      </c>
      <c r="C329" s="34">
        <v>19</v>
      </c>
      <c r="D329" s="59"/>
    </row>
    <row r="330" spans="2:4" x14ac:dyDescent="0.3">
      <c r="B330" s="33" t="s">
        <v>362</v>
      </c>
      <c r="C330" s="34">
        <v>22.21</v>
      </c>
      <c r="D330" s="59"/>
    </row>
    <row r="331" spans="2:4" x14ac:dyDescent="0.3">
      <c r="B331" s="33" t="s">
        <v>456</v>
      </c>
      <c r="C331" s="34">
        <v>5</v>
      </c>
      <c r="D331" s="59"/>
    </row>
    <row r="332" spans="2:4" x14ac:dyDescent="0.3">
      <c r="B332" s="33" t="s">
        <v>457</v>
      </c>
      <c r="C332" s="34">
        <v>6</v>
      </c>
      <c r="D332" s="59"/>
    </row>
    <row r="333" spans="2:4" x14ac:dyDescent="0.3">
      <c r="B333" s="41"/>
      <c r="C333" s="34"/>
      <c r="D333" s="59"/>
    </row>
    <row r="334" spans="2:4" x14ac:dyDescent="0.3">
      <c r="B334" s="33" t="s">
        <v>365</v>
      </c>
      <c r="C334" s="34"/>
      <c r="D334" s="59"/>
    </row>
    <row r="335" spans="2:4" x14ac:dyDescent="0.3">
      <c r="B335" s="33" t="s">
        <v>366</v>
      </c>
      <c r="C335" s="34"/>
      <c r="D335" s="59"/>
    </row>
    <row r="336" spans="2:4" x14ac:dyDescent="0.3">
      <c r="B336" s="41"/>
      <c r="C336" s="34"/>
      <c r="D336" s="59"/>
    </row>
    <row r="337" spans="2:4" x14ac:dyDescent="0.3">
      <c r="B337" s="33" t="s">
        <v>458</v>
      </c>
      <c r="C337" s="34">
        <v>46</v>
      </c>
      <c r="D337" s="59"/>
    </row>
    <row r="338" spans="2:4" x14ac:dyDescent="0.3">
      <c r="B338" s="33" t="s">
        <v>459</v>
      </c>
      <c r="C338" s="34">
        <v>5.03</v>
      </c>
      <c r="D338" s="59"/>
    </row>
    <row r="339" spans="2:4" x14ac:dyDescent="0.3">
      <c r="B339" s="41"/>
      <c r="C339" s="34"/>
      <c r="D339" s="59"/>
    </row>
    <row r="340" spans="2:4" x14ac:dyDescent="0.3">
      <c r="B340" s="33" t="s">
        <v>460</v>
      </c>
      <c r="C340" s="34">
        <v>40</v>
      </c>
      <c r="D340" s="59"/>
    </row>
    <row r="341" spans="2:4" x14ac:dyDescent="0.3">
      <c r="B341" s="33" t="s">
        <v>461</v>
      </c>
      <c r="C341" s="34">
        <v>15</v>
      </c>
      <c r="D341" s="59"/>
    </row>
    <row r="342" spans="2:4" x14ac:dyDescent="0.3">
      <c r="B342" s="33" t="s">
        <v>368</v>
      </c>
      <c r="C342" s="34">
        <v>15</v>
      </c>
      <c r="D342" s="59"/>
    </row>
    <row r="343" spans="2:4" x14ac:dyDescent="0.3">
      <c r="B343" s="41"/>
      <c r="C343" s="34"/>
      <c r="D343" s="59"/>
    </row>
    <row r="344" spans="2:4" x14ac:dyDescent="0.3">
      <c r="B344" s="33" t="s">
        <v>355</v>
      </c>
      <c r="C344" s="34">
        <v>114.7</v>
      </c>
      <c r="D344" s="59"/>
    </row>
    <row r="345" spans="2:4" x14ac:dyDescent="0.3">
      <c r="B345" s="33" t="s">
        <v>356</v>
      </c>
      <c r="C345" s="34">
        <v>6</v>
      </c>
      <c r="D345" s="59"/>
    </row>
    <row r="346" spans="2:4" x14ac:dyDescent="0.3">
      <c r="B346" s="33" t="s">
        <v>357</v>
      </c>
      <c r="C346" s="34">
        <v>11</v>
      </c>
      <c r="D346" s="59"/>
    </row>
    <row r="347" spans="2:4" x14ac:dyDescent="0.3">
      <c r="B347" s="33" t="s">
        <v>358</v>
      </c>
      <c r="C347" s="34">
        <v>16.5</v>
      </c>
      <c r="D347" s="59"/>
    </row>
    <row r="348" spans="2:4" x14ac:dyDescent="0.3">
      <c r="B348" s="33" t="s">
        <v>359</v>
      </c>
      <c r="C348" s="34">
        <v>26.84</v>
      </c>
      <c r="D348" s="59"/>
    </row>
    <row r="349" spans="2:4" x14ac:dyDescent="0.3">
      <c r="B349" s="33" t="s">
        <v>360</v>
      </c>
      <c r="C349" s="34">
        <v>15.95</v>
      </c>
      <c r="D349" s="59"/>
    </row>
    <row r="350" spans="2:4" x14ac:dyDescent="0.3">
      <c r="B350" s="33" t="s">
        <v>462</v>
      </c>
      <c r="C350" s="34">
        <v>35</v>
      </c>
      <c r="D350" s="59"/>
    </row>
    <row r="351" spans="2:4" x14ac:dyDescent="0.3">
      <c r="B351" s="33" t="s">
        <v>369</v>
      </c>
      <c r="C351" s="34">
        <v>5</v>
      </c>
      <c r="D351" s="59"/>
    </row>
    <row r="352" spans="2:4" x14ac:dyDescent="0.3">
      <c r="B352" s="41"/>
      <c r="C352" s="34"/>
      <c r="D352" s="59"/>
    </row>
    <row r="353" spans="2:4" x14ac:dyDescent="0.3">
      <c r="B353" s="33" t="s">
        <v>370</v>
      </c>
      <c r="C353" s="34">
        <v>28.5</v>
      </c>
      <c r="D353" s="59"/>
    </row>
    <row r="354" spans="2:4" x14ac:dyDescent="0.3">
      <c r="B354" s="33" t="s">
        <v>371</v>
      </c>
      <c r="C354" s="34">
        <v>28.5</v>
      </c>
      <c r="D354" s="59"/>
    </row>
    <row r="355" spans="2:4" x14ac:dyDescent="0.3">
      <c r="B355" s="33" t="s">
        <v>463</v>
      </c>
      <c r="C355" s="34">
        <v>50</v>
      </c>
      <c r="D355" s="59"/>
    </row>
    <row r="356" spans="2:4" x14ac:dyDescent="0.3">
      <c r="B356" s="33" t="s">
        <v>464</v>
      </c>
      <c r="C356" s="34">
        <v>50</v>
      </c>
      <c r="D356" s="59"/>
    </row>
    <row r="357" spans="2:4" x14ac:dyDescent="0.3">
      <c r="B357" s="33"/>
      <c r="C357" s="34"/>
      <c r="D357" s="59"/>
    </row>
    <row r="358" spans="2:4" x14ac:dyDescent="0.3">
      <c r="B358" s="33" t="s">
        <v>372</v>
      </c>
      <c r="C358" s="34">
        <v>50</v>
      </c>
      <c r="D358" s="59"/>
    </row>
    <row r="359" spans="2:4" x14ac:dyDescent="0.3">
      <c r="B359" s="1"/>
      <c r="C359" s="57"/>
      <c r="D359" s="23"/>
    </row>
    <row r="360" spans="2:4" x14ac:dyDescent="0.3">
      <c r="B360" s="56" t="s">
        <v>465</v>
      </c>
      <c r="C360" s="58">
        <v>0.2</v>
      </c>
      <c r="D360" s="23"/>
    </row>
    <row r="361" spans="2:4" x14ac:dyDescent="0.3">
      <c r="B361" s="56" t="s">
        <v>466</v>
      </c>
      <c r="C361" s="58">
        <v>0.2</v>
      </c>
      <c r="D361" s="23"/>
    </row>
    <row r="362" spans="2:4" x14ac:dyDescent="0.3">
      <c r="B362" s="56" t="s">
        <v>467</v>
      </c>
      <c r="C362" s="58">
        <v>0.5</v>
      </c>
      <c r="D362" s="23"/>
    </row>
    <row r="363" spans="2:4" x14ac:dyDescent="0.3">
      <c r="B363" s="56" t="s">
        <v>468</v>
      </c>
      <c r="C363" s="58">
        <v>0.5</v>
      </c>
      <c r="D363" s="1"/>
    </row>
    <row r="364" spans="2:4" x14ac:dyDescent="0.3">
      <c r="B364" s="1"/>
      <c r="C364" s="39"/>
      <c r="D364" s="23"/>
    </row>
    <row r="365" spans="2:4" x14ac:dyDescent="0.3">
      <c r="B365" s="1"/>
      <c r="C365" s="39"/>
      <c r="D365" s="23"/>
    </row>
    <row r="366" spans="2:4" x14ac:dyDescent="0.3">
      <c r="B366" s="1"/>
      <c r="C366" s="39"/>
      <c r="D366" s="23"/>
    </row>
    <row r="367" spans="2:4" x14ac:dyDescent="0.3">
      <c r="B367" s="1"/>
      <c r="C367" s="39"/>
      <c r="D367" s="23"/>
    </row>
    <row r="368" spans="2:4" x14ac:dyDescent="0.3">
      <c r="B368" s="1"/>
      <c r="C368" s="39"/>
      <c r="D368" s="23"/>
    </row>
    <row r="369" spans="2:4" x14ac:dyDescent="0.3">
      <c r="B369" s="1"/>
      <c r="C369" s="39"/>
      <c r="D369" s="23"/>
    </row>
    <row r="370" spans="2:4" x14ac:dyDescent="0.3">
      <c r="B370" s="1"/>
      <c r="C370" s="39"/>
      <c r="D370" s="23"/>
    </row>
    <row r="371" spans="2:4" x14ac:dyDescent="0.3">
      <c r="B371" s="1"/>
      <c r="C371" s="39"/>
      <c r="D371" s="23"/>
    </row>
    <row r="372" spans="2:4" x14ac:dyDescent="0.3">
      <c r="B372" s="1"/>
      <c r="C372" s="39"/>
      <c r="D372" s="23"/>
    </row>
    <row r="373" spans="2:4" x14ac:dyDescent="0.3">
      <c r="B373" s="1"/>
      <c r="C373" s="39"/>
      <c r="D373" s="23"/>
    </row>
    <row r="374" spans="2:4" x14ac:dyDescent="0.3">
      <c r="B374" s="1"/>
      <c r="C374" s="39"/>
      <c r="D374" s="23"/>
    </row>
    <row r="375" spans="2:4" x14ac:dyDescent="0.3">
      <c r="B375" s="1"/>
      <c r="C375" s="39"/>
      <c r="D375" s="23"/>
    </row>
    <row r="376" spans="2:4" x14ac:dyDescent="0.3">
      <c r="B376" s="1"/>
      <c r="C376" s="39"/>
      <c r="D376" s="23"/>
    </row>
    <row r="377" spans="2:4" x14ac:dyDescent="0.3">
      <c r="B377" s="1"/>
      <c r="C377" s="39"/>
      <c r="D377" s="23"/>
    </row>
    <row r="378" spans="2:4" x14ac:dyDescent="0.3">
      <c r="B378" s="1"/>
      <c r="C378" s="39"/>
      <c r="D378" s="23"/>
    </row>
    <row r="379" spans="2:4" x14ac:dyDescent="0.3">
      <c r="B379" s="1"/>
      <c r="C379" s="39"/>
      <c r="D379" s="23"/>
    </row>
    <row r="380" spans="2:4" x14ac:dyDescent="0.3">
      <c r="B380" s="1"/>
      <c r="C380" s="39"/>
      <c r="D380" s="23"/>
    </row>
    <row r="381" spans="2:4" x14ac:dyDescent="0.3">
      <c r="B381" s="1"/>
      <c r="C381" s="39"/>
      <c r="D381" s="23"/>
    </row>
    <row r="382" spans="2:4" x14ac:dyDescent="0.3">
      <c r="B382" s="1"/>
      <c r="C382" s="39"/>
      <c r="D382" s="23"/>
    </row>
    <row r="383" spans="2:4" x14ac:dyDescent="0.3">
      <c r="B383" s="1"/>
      <c r="C383" s="39"/>
      <c r="D383" s="23"/>
    </row>
    <row r="384" spans="2:4" x14ac:dyDescent="0.3">
      <c r="B384" s="1"/>
      <c r="C384" s="39"/>
      <c r="D384" s="23"/>
    </row>
    <row r="385" spans="2:4" x14ac:dyDescent="0.3">
      <c r="B385" s="1"/>
      <c r="C385" s="39"/>
      <c r="D385" s="23"/>
    </row>
    <row r="386" spans="2:4" x14ac:dyDescent="0.3">
      <c r="B386" s="1"/>
      <c r="C386" s="39"/>
      <c r="D386" s="23"/>
    </row>
    <row r="387" spans="2:4" x14ac:dyDescent="0.3">
      <c r="B387" s="1"/>
      <c r="C387" s="39"/>
      <c r="D387" s="23"/>
    </row>
    <row r="388" spans="2:4" x14ac:dyDescent="0.3">
      <c r="B388" s="1"/>
      <c r="C388" s="39"/>
      <c r="D388" s="23"/>
    </row>
    <row r="389" spans="2:4" x14ac:dyDescent="0.3">
      <c r="B389" s="1"/>
      <c r="C389" s="39"/>
      <c r="D389" s="23"/>
    </row>
    <row r="390" spans="2:4" x14ac:dyDescent="0.3">
      <c r="B390" s="1"/>
      <c r="C390" s="39"/>
      <c r="D390" s="23"/>
    </row>
    <row r="391" spans="2:4" x14ac:dyDescent="0.3">
      <c r="B391" s="1"/>
      <c r="C391" s="39"/>
      <c r="D391" s="23"/>
    </row>
    <row r="392" spans="2:4" x14ac:dyDescent="0.3">
      <c r="B392" s="1"/>
      <c r="C392" s="39"/>
      <c r="D392" s="23"/>
    </row>
    <row r="393" spans="2:4" x14ac:dyDescent="0.3">
      <c r="B393" s="1"/>
      <c r="C393" s="39"/>
      <c r="D393" s="23"/>
    </row>
    <row r="394" spans="2:4" x14ac:dyDescent="0.3">
      <c r="B394" s="1"/>
      <c r="C394" s="39"/>
      <c r="D394" s="23"/>
    </row>
    <row r="395" spans="2:4" x14ac:dyDescent="0.3">
      <c r="B395" s="1"/>
      <c r="C395" s="39"/>
      <c r="D395" s="23"/>
    </row>
    <row r="396" spans="2:4" x14ac:dyDescent="0.3">
      <c r="B396" s="1"/>
      <c r="C396" s="39"/>
      <c r="D396" s="23"/>
    </row>
    <row r="397" spans="2:4" x14ac:dyDescent="0.3">
      <c r="B397" s="1"/>
      <c r="C397" s="39"/>
      <c r="D397" s="23"/>
    </row>
    <row r="398" spans="2:4" x14ac:dyDescent="0.3">
      <c r="B398" s="1"/>
      <c r="C398" s="39"/>
      <c r="D398" s="23"/>
    </row>
    <row r="399" spans="2:4" x14ac:dyDescent="0.3">
      <c r="B399" s="1"/>
      <c r="C399" s="39"/>
      <c r="D399" s="23"/>
    </row>
    <row r="400" spans="2:4" x14ac:dyDescent="0.3">
      <c r="B400" s="1"/>
      <c r="C400" s="39"/>
      <c r="D400" s="23"/>
    </row>
    <row r="401" spans="2:3" x14ac:dyDescent="0.3">
      <c r="B401" s="1"/>
      <c r="C401" s="39"/>
    </row>
    <row r="402" spans="2:3" x14ac:dyDescent="0.3">
      <c r="B402" s="1"/>
      <c r="C402" s="39"/>
    </row>
    <row r="403" spans="2:3" x14ac:dyDescent="0.3">
      <c r="B403" s="1"/>
      <c r="C403" s="39"/>
    </row>
    <row r="404" spans="2:3" x14ac:dyDescent="0.3">
      <c r="B404" s="1"/>
      <c r="C404" s="39"/>
    </row>
    <row r="405" spans="2:3" x14ac:dyDescent="0.3">
      <c r="B405" s="1"/>
      <c r="C405" s="39"/>
    </row>
    <row r="406" spans="2:3" x14ac:dyDescent="0.3">
      <c r="B406" s="1"/>
      <c r="C406" s="39"/>
    </row>
    <row r="407" spans="2:3" x14ac:dyDescent="0.3">
      <c r="B407" s="1"/>
      <c r="C407" s="39"/>
    </row>
    <row r="408" spans="2:3" x14ac:dyDescent="0.3">
      <c r="B408" s="1"/>
      <c r="C408" s="39"/>
    </row>
    <row r="409" spans="2:3" x14ac:dyDescent="0.3">
      <c r="B409" s="1"/>
      <c r="C409" s="39"/>
    </row>
    <row r="410" spans="2:3" x14ac:dyDescent="0.3">
      <c r="B410" s="1"/>
      <c r="C410" s="39"/>
    </row>
    <row r="411" spans="2:3" x14ac:dyDescent="0.3">
      <c r="B411" s="1"/>
      <c r="C411" s="3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73"/>
  <sheetViews>
    <sheetView workbookViewId="0">
      <selection activeCell="C17" sqref="C17"/>
    </sheetView>
  </sheetViews>
  <sheetFormatPr defaultRowHeight="14.4" x14ac:dyDescent="0.3"/>
  <cols>
    <col min="3" max="3" width="42.109375" style="7" customWidth="1"/>
    <col min="5" max="5" width="18.88671875" customWidth="1"/>
    <col min="6" max="6" width="11.33203125" customWidth="1"/>
    <col min="7" max="7" width="9.88671875" style="1" customWidth="1"/>
    <col min="9" max="9" width="8.88671875" style="1"/>
    <col min="10" max="10" width="21.5546875" customWidth="1"/>
    <col min="12" max="12" width="34.33203125" customWidth="1"/>
    <col min="13" max="13" width="35.5546875" customWidth="1"/>
    <col min="14" max="14" width="33.6640625" style="1" customWidth="1"/>
    <col min="15" max="15" width="32.44140625" customWidth="1"/>
    <col min="16" max="16" width="32.88671875" customWidth="1"/>
    <col min="17" max="17" width="32.88671875" style="1" customWidth="1"/>
    <col min="18" max="18" width="31.33203125" customWidth="1"/>
    <col min="19" max="19" width="23" customWidth="1"/>
    <col min="20" max="20" width="37.33203125" customWidth="1"/>
    <col min="21" max="21" width="34" customWidth="1"/>
  </cols>
  <sheetData>
    <row r="1" spans="1:21" x14ac:dyDescent="0.3">
      <c r="A1" s="2" t="s">
        <v>0</v>
      </c>
      <c r="B1" s="4" t="s">
        <v>1</v>
      </c>
      <c r="C1" s="6" t="s">
        <v>2</v>
      </c>
      <c r="D1" s="2" t="s">
        <v>3</v>
      </c>
      <c r="E1" s="8" t="s">
        <v>4</v>
      </c>
      <c r="F1" s="2" t="s">
        <v>5</v>
      </c>
      <c r="G1" s="2" t="s">
        <v>36</v>
      </c>
      <c r="H1" s="2" t="s">
        <v>6</v>
      </c>
      <c r="I1" s="3" t="s">
        <v>35</v>
      </c>
      <c r="J1" s="3" t="s">
        <v>499</v>
      </c>
      <c r="L1" s="22" t="s">
        <v>177</v>
      </c>
      <c r="M1" s="22" t="s">
        <v>18</v>
      </c>
      <c r="N1" s="22" t="s">
        <v>180</v>
      </c>
      <c r="O1" s="22" t="s">
        <v>19</v>
      </c>
      <c r="P1" s="22" t="s">
        <v>178</v>
      </c>
      <c r="Q1" s="22" t="s">
        <v>35</v>
      </c>
      <c r="R1" s="22" t="s">
        <v>293</v>
      </c>
      <c r="S1" s="22" t="s">
        <v>179</v>
      </c>
      <c r="T1" s="22" t="s">
        <v>181</v>
      </c>
      <c r="U1" s="22" t="s">
        <v>6</v>
      </c>
    </row>
    <row r="2" spans="1:21" x14ac:dyDescent="0.3">
      <c r="C2" s="7" t="s">
        <v>10</v>
      </c>
      <c r="F2" t="s">
        <v>18</v>
      </c>
      <c r="G2" s="1" t="s">
        <v>37</v>
      </c>
      <c r="H2" t="s">
        <v>22</v>
      </c>
      <c r="I2" t="s">
        <v>21</v>
      </c>
      <c r="J2" t="s">
        <v>500</v>
      </c>
      <c r="L2" t="s">
        <v>182</v>
      </c>
      <c r="M2" t="s">
        <v>214</v>
      </c>
      <c r="N2" s="1" t="s">
        <v>242</v>
      </c>
      <c r="O2" t="s">
        <v>253</v>
      </c>
      <c r="P2" t="s">
        <v>266</v>
      </c>
      <c r="Q2" s="1" t="s">
        <v>20</v>
      </c>
      <c r="R2" t="s">
        <v>288</v>
      </c>
      <c r="S2" t="s">
        <v>299</v>
      </c>
      <c r="T2" t="s">
        <v>316</v>
      </c>
      <c r="U2" t="s">
        <v>361</v>
      </c>
    </row>
    <row r="3" spans="1:21" x14ac:dyDescent="0.3">
      <c r="C3" s="7" t="s">
        <v>503</v>
      </c>
      <c r="F3" t="s">
        <v>19</v>
      </c>
      <c r="G3" s="23" t="s">
        <v>38</v>
      </c>
      <c r="H3" t="s">
        <v>23</v>
      </c>
      <c r="I3" t="s">
        <v>24</v>
      </c>
      <c r="J3" t="s">
        <v>501</v>
      </c>
      <c r="L3" t="s">
        <v>183</v>
      </c>
      <c r="M3" t="s">
        <v>215</v>
      </c>
      <c r="N3" s="1" t="s">
        <v>243</v>
      </c>
      <c r="O3" t="s">
        <v>254</v>
      </c>
      <c r="P3" t="s">
        <v>267</v>
      </c>
      <c r="Q3" s="1" t="s">
        <v>294</v>
      </c>
      <c r="R3" t="s">
        <v>289</v>
      </c>
      <c r="S3" t="s">
        <v>300</v>
      </c>
      <c r="T3" t="s">
        <v>317</v>
      </c>
      <c r="U3" t="s">
        <v>362</v>
      </c>
    </row>
    <row r="4" spans="1:21" x14ac:dyDescent="0.3">
      <c r="C4" s="7" t="s">
        <v>504</v>
      </c>
      <c r="F4" s="78" t="s">
        <v>28</v>
      </c>
      <c r="G4" s="24" t="s">
        <v>39</v>
      </c>
      <c r="H4" t="s">
        <v>29</v>
      </c>
      <c r="I4" t="s">
        <v>25</v>
      </c>
      <c r="J4" t="s">
        <v>9</v>
      </c>
      <c r="L4" t="s">
        <v>184</v>
      </c>
      <c r="M4" t="s">
        <v>216</v>
      </c>
      <c r="N4" s="1" t="s">
        <v>244</v>
      </c>
      <c r="O4" t="s">
        <v>255</v>
      </c>
      <c r="P4" t="s">
        <v>268</v>
      </c>
      <c r="Q4" s="1" t="s">
        <v>295</v>
      </c>
      <c r="R4" t="s">
        <v>290</v>
      </c>
      <c r="S4" t="s">
        <v>301</v>
      </c>
      <c r="T4" t="s">
        <v>318</v>
      </c>
      <c r="U4" t="s">
        <v>363</v>
      </c>
    </row>
    <row r="5" spans="1:21" x14ac:dyDescent="0.3">
      <c r="C5" s="7" t="s">
        <v>505</v>
      </c>
      <c r="F5" t="s">
        <v>27</v>
      </c>
      <c r="H5" t="s">
        <v>32</v>
      </c>
      <c r="I5" s="1" t="s">
        <v>20</v>
      </c>
      <c r="J5" t="s">
        <v>502</v>
      </c>
      <c r="L5" t="s">
        <v>185</v>
      </c>
      <c r="M5" t="s">
        <v>217</v>
      </c>
      <c r="N5" s="1" t="s">
        <v>245</v>
      </c>
      <c r="O5" t="s">
        <v>256</v>
      </c>
      <c r="P5" t="s">
        <v>269</v>
      </c>
      <c r="Q5" s="1" t="s">
        <v>296</v>
      </c>
      <c r="R5" t="s">
        <v>291</v>
      </c>
      <c r="S5" t="s">
        <v>302</v>
      </c>
      <c r="T5" t="s">
        <v>319</v>
      </c>
      <c r="U5" t="s">
        <v>364</v>
      </c>
    </row>
    <row r="6" spans="1:21" x14ac:dyDescent="0.3">
      <c r="C6" s="7" t="s">
        <v>506</v>
      </c>
      <c r="F6" t="s">
        <v>26</v>
      </c>
      <c r="H6" t="s">
        <v>33</v>
      </c>
      <c r="I6" s="13" t="s">
        <v>166</v>
      </c>
      <c r="L6" t="s">
        <v>186</v>
      </c>
      <c r="M6" t="s">
        <v>218</v>
      </c>
      <c r="N6" s="1" t="s">
        <v>246</v>
      </c>
      <c r="O6" t="s">
        <v>257</v>
      </c>
      <c r="P6" t="s">
        <v>270</v>
      </c>
      <c r="Q6" s="1" t="s">
        <v>297</v>
      </c>
      <c r="R6" t="s">
        <v>292</v>
      </c>
      <c r="S6" t="s">
        <v>303</v>
      </c>
      <c r="T6" t="s">
        <v>320</v>
      </c>
      <c r="U6" t="s">
        <v>365</v>
      </c>
    </row>
    <row r="7" spans="1:21" x14ac:dyDescent="0.3">
      <c r="C7" s="7" t="s">
        <v>507</v>
      </c>
      <c r="F7" t="s">
        <v>30</v>
      </c>
      <c r="H7" t="s">
        <v>165</v>
      </c>
      <c r="L7" t="s">
        <v>187</v>
      </c>
      <c r="M7" t="s">
        <v>219</v>
      </c>
      <c r="N7" s="1" t="s">
        <v>247</v>
      </c>
      <c r="O7" t="s">
        <v>258</v>
      </c>
      <c r="P7" t="s">
        <v>271</v>
      </c>
      <c r="Q7" s="1" t="s">
        <v>298</v>
      </c>
      <c r="S7" t="s">
        <v>304</v>
      </c>
      <c r="T7" t="s">
        <v>321</v>
      </c>
      <c r="U7" t="s">
        <v>366</v>
      </c>
    </row>
    <row r="8" spans="1:21" x14ac:dyDescent="0.3">
      <c r="C8" s="7" t="s">
        <v>508</v>
      </c>
      <c r="F8" t="s">
        <v>167</v>
      </c>
      <c r="L8" t="s">
        <v>188</v>
      </c>
      <c r="M8" t="s">
        <v>220</v>
      </c>
      <c r="N8" s="1" t="s">
        <v>248</v>
      </c>
      <c r="O8" t="s">
        <v>259</v>
      </c>
      <c r="P8" t="s">
        <v>272</v>
      </c>
      <c r="S8" t="s">
        <v>305</v>
      </c>
      <c r="T8" t="s">
        <v>322</v>
      </c>
      <c r="U8" t="s">
        <v>367</v>
      </c>
    </row>
    <row r="9" spans="1:21" x14ac:dyDescent="0.3">
      <c r="C9" s="7" t="s">
        <v>509</v>
      </c>
      <c r="F9" t="s">
        <v>34</v>
      </c>
      <c r="L9" t="s">
        <v>189</v>
      </c>
      <c r="M9" t="s">
        <v>221</v>
      </c>
      <c r="N9" s="1" t="s">
        <v>249</v>
      </c>
      <c r="O9" t="s">
        <v>260</v>
      </c>
      <c r="P9" t="s">
        <v>273</v>
      </c>
      <c r="U9" t="s">
        <v>368</v>
      </c>
    </row>
    <row r="10" spans="1:21" x14ac:dyDescent="0.3">
      <c r="C10" s="7" t="s">
        <v>510</v>
      </c>
      <c r="F10" t="s">
        <v>40</v>
      </c>
      <c r="L10" t="s">
        <v>190</v>
      </c>
      <c r="M10" t="s">
        <v>222</v>
      </c>
      <c r="N10" s="1" t="s">
        <v>250</v>
      </c>
      <c r="O10" t="s">
        <v>261</v>
      </c>
      <c r="P10" t="s">
        <v>274</v>
      </c>
      <c r="S10" t="s">
        <v>306</v>
      </c>
      <c r="T10" t="s">
        <v>323</v>
      </c>
      <c r="U10" t="s">
        <v>369</v>
      </c>
    </row>
    <row r="11" spans="1:21" x14ac:dyDescent="0.3">
      <c r="C11" s="7" t="s">
        <v>511</v>
      </c>
      <c r="F11" t="s">
        <v>41</v>
      </c>
      <c r="L11" t="s">
        <v>191</v>
      </c>
      <c r="M11" t="s">
        <v>223</v>
      </c>
      <c r="N11" s="1" t="s">
        <v>251</v>
      </c>
      <c r="O11" t="s">
        <v>262</v>
      </c>
      <c r="P11" t="s">
        <v>275</v>
      </c>
      <c r="S11" t="s">
        <v>307</v>
      </c>
      <c r="T11" t="s">
        <v>324</v>
      </c>
      <c r="U11" t="s">
        <v>370</v>
      </c>
    </row>
    <row r="12" spans="1:21" x14ac:dyDescent="0.3">
      <c r="C12" s="7" t="s">
        <v>512</v>
      </c>
      <c r="F12" t="s">
        <v>168</v>
      </c>
      <c r="L12" t="s">
        <v>192</v>
      </c>
      <c r="M12" t="s">
        <v>224</v>
      </c>
      <c r="N12" s="1" t="s">
        <v>252</v>
      </c>
      <c r="O12" t="s">
        <v>263</v>
      </c>
      <c r="P12" t="s">
        <v>276</v>
      </c>
      <c r="S12" t="s">
        <v>308</v>
      </c>
      <c r="T12" t="s">
        <v>325</v>
      </c>
      <c r="U12" t="s">
        <v>371</v>
      </c>
    </row>
    <row r="13" spans="1:21" x14ac:dyDescent="0.3">
      <c r="C13" s="7" t="s">
        <v>513</v>
      </c>
      <c r="F13" t="s">
        <v>176</v>
      </c>
      <c r="L13" t="s">
        <v>193</v>
      </c>
      <c r="M13" t="s">
        <v>225</v>
      </c>
      <c r="O13" t="s">
        <v>264</v>
      </c>
      <c r="P13" t="s">
        <v>277</v>
      </c>
      <c r="S13" t="s">
        <v>309</v>
      </c>
      <c r="T13" t="s">
        <v>326</v>
      </c>
      <c r="U13" t="s">
        <v>372</v>
      </c>
    </row>
    <row r="14" spans="1:21" x14ac:dyDescent="0.3">
      <c r="C14" s="7" t="s">
        <v>514</v>
      </c>
      <c r="L14" t="s">
        <v>194</v>
      </c>
      <c r="M14" t="s">
        <v>226</v>
      </c>
      <c r="O14" t="s">
        <v>265</v>
      </c>
      <c r="P14" t="s">
        <v>278</v>
      </c>
      <c r="S14" t="s">
        <v>310</v>
      </c>
    </row>
    <row r="15" spans="1:21" x14ac:dyDescent="0.3">
      <c r="C15" s="7" t="s">
        <v>515</v>
      </c>
      <c r="L15" t="s">
        <v>195</v>
      </c>
      <c r="M15" t="s">
        <v>227</v>
      </c>
      <c r="P15" t="s">
        <v>279</v>
      </c>
      <c r="S15" t="s">
        <v>311</v>
      </c>
      <c r="T15" t="s">
        <v>327</v>
      </c>
    </row>
    <row r="16" spans="1:21" x14ac:dyDescent="0.3">
      <c r="C16" s="7" t="s">
        <v>516</v>
      </c>
      <c r="L16" t="s">
        <v>196</v>
      </c>
      <c r="M16" t="s">
        <v>228</v>
      </c>
      <c r="P16" t="s">
        <v>280</v>
      </c>
      <c r="S16" t="s">
        <v>312</v>
      </c>
      <c r="T16" t="s">
        <v>328</v>
      </c>
    </row>
    <row r="17" spans="3:20" x14ac:dyDescent="0.3">
      <c r="C17" s="7" t="s">
        <v>517</v>
      </c>
      <c r="L17" t="s">
        <v>197</v>
      </c>
      <c r="M17" t="s">
        <v>229</v>
      </c>
      <c r="P17" t="s">
        <v>281</v>
      </c>
      <c r="S17" t="s">
        <v>313</v>
      </c>
      <c r="T17" t="s">
        <v>329</v>
      </c>
    </row>
    <row r="18" spans="3:20" x14ac:dyDescent="0.3">
      <c r="C18" s="7" t="s">
        <v>518</v>
      </c>
      <c r="L18" t="s">
        <v>198</v>
      </c>
      <c r="M18" t="s">
        <v>230</v>
      </c>
      <c r="S18" t="s">
        <v>314</v>
      </c>
      <c r="T18" t="s">
        <v>330</v>
      </c>
    </row>
    <row r="19" spans="3:20" x14ac:dyDescent="0.3">
      <c r="C19" s="7" t="s">
        <v>519</v>
      </c>
      <c r="L19" t="s">
        <v>199</v>
      </c>
      <c r="M19" t="s">
        <v>231</v>
      </c>
      <c r="P19" t="s">
        <v>282</v>
      </c>
      <c r="S19" t="s">
        <v>315</v>
      </c>
    </row>
    <row r="20" spans="3:20" x14ac:dyDescent="0.3">
      <c r="C20" s="7" t="s">
        <v>520</v>
      </c>
      <c r="L20" t="s">
        <v>200</v>
      </c>
      <c r="M20" t="s">
        <v>232</v>
      </c>
      <c r="P20" t="s">
        <v>283</v>
      </c>
      <c r="T20" t="s">
        <v>331</v>
      </c>
    </row>
    <row r="21" spans="3:20" x14ac:dyDescent="0.3">
      <c r="C21" s="7" t="s">
        <v>521</v>
      </c>
      <c r="L21" t="s">
        <v>201</v>
      </c>
      <c r="M21" t="s">
        <v>233</v>
      </c>
      <c r="P21" t="s">
        <v>284</v>
      </c>
      <c r="T21" t="s">
        <v>332</v>
      </c>
    </row>
    <row r="22" spans="3:20" x14ac:dyDescent="0.3">
      <c r="C22" s="7" t="s">
        <v>522</v>
      </c>
      <c r="L22" t="s">
        <v>202</v>
      </c>
      <c r="M22" t="s">
        <v>234</v>
      </c>
      <c r="P22" t="s">
        <v>285</v>
      </c>
      <c r="T22" t="s">
        <v>333</v>
      </c>
    </row>
    <row r="23" spans="3:20" x14ac:dyDescent="0.3">
      <c r="C23" s="7" t="s">
        <v>523</v>
      </c>
      <c r="L23" t="s">
        <v>203</v>
      </c>
      <c r="M23" t="s">
        <v>235</v>
      </c>
      <c r="P23" t="s">
        <v>286</v>
      </c>
      <c r="T23" t="s">
        <v>334</v>
      </c>
    </row>
    <row r="24" spans="3:20" x14ac:dyDescent="0.3">
      <c r="C24" s="7" t="s">
        <v>524</v>
      </c>
      <c r="L24" t="s">
        <v>204</v>
      </c>
      <c r="M24" t="s">
        <v>236</v>
      </c>
      <c r="P24" t="s">
        <v>287</v>
      </c>
      <c r="T24" t="s">
        <v>335</v>
      </c>
    </row>
    <row r="25" spans="3:20" x14ac:dyDescent="0.3">
      <c r="C25" s="7" t="s">
        <v>525</v>
      </c>
      <c r="L25" t="s">
        <v>113</v>
      </c>
      <c r="M25" t="s">
        <v>237</v>
      </c>
    </row>
    <row r="26" spans="3:20" x14ac:dyDescent="0.3">
      <c r="C26" s="7" t="s">
        <v>526</v>
      </c>
      <c r="L26" t="s">
        <v>205</v>
      </c>
      <c r="M26" t="s">
        <v>238</v>
      </c>
      <c r="T26" t="s">
        <v>336</v>
      </c>
    </row>
    <row r="27" spans="3:20" x14ac:dyDescent="0.3">
      <c r="C27" s="7" t="s">
        <v>527</v>
      </c>
      <c r="L27" t="s">
        <v>206</v>
      </c>
      <c r="M27" t="s">
        <v>239</v>
      </c>
      <c r="T27" t="s">
        <v>337</v>
      </c>
    </row>
    <row r="28" spans="3:20" x14ac:dyDescent="0.3">
      <c r="C28" s="7" t="s">
        <v>528</v>
      </c>
      <c r="L28" t="s">
        <v>207</v>
      </c>
      <c r="M28" t="s">
        <v>240</v>
      </c>
      <c r="T28" t="s">
        <v>338</v>
      </c>
    </row>
    <row r="29" spans="3:20" x14ac:dyDescent="0.3">
      <c r="C29" s="7" t="s">
        <v>529</v>
      </c>
      <c r="L29" t="s">
        <v>208</v>
      </c>
      <c r="M29" t="s">
        <v>241</v>
      </c>
      <c r="T29" t="s">
        <v>339</v>
      </c>
    </row>
    <row r="30" spans="3:20" x14ac:dyDescent="0.3">
      <c r="C30" s="7" t="s">
        <v>530</v>
      </c>
      <c r="L30" t="s">
        <v>209</v>
      </c>
    </row>
    <row r="31" spans="3:20" x14ac:dyDescent="0.3">
      <c r="C31" s="7" t="s">
        <v>531</v>
      </c>
      <c r="L31" t="s">
        <v>210</v>
      </c>
      <c r="T31" t="s">
        <v>340</v>
      </c>
    </row>
    <row r="32" spans="3:20" x14ac:dyDescent="0.3">
      <c r="C32" s="7" t="s">
        <v>532</v>
      </c>
      <c r="L32" t="s">
        <v>211</v>
      </c>
      <c r="T32" t="s">
        <v>341</v>
      </c>
    </row>
    <row r="33" spans="3:20" x14ac:dyDescent="0.3">
      <c r="C33" s="7" t="s">
        <v>533</v>
      </c>
      <c r="L33" t="s">
        <v>212</v>
      </c>
      <c r="T33" t="s">
        <v>342</v>
      </c>
    </row>
    <row r="34" spans="3:20" x14ac:dyDescent="0.3">
      <c r="C34" s="7" t="s">
        <v>534</v>
      </c>
      <c r="L34" t="s">
        <v>213</v>
      </c>
      <c r="T34" t="s">
        <v>343</v>
      </c>
    </row>
    <row r="35" spans="3:20" x14ac:dyDescent="0.3">
      <c r="C35" s="7" t="s">
        <v>535</v>
      </c>
      <c r="T35" t="s">
        <v>344</v>
      </c>
    </row>
    <row r="36" spans="3:20" x14ac:dyDescent="0.3">
      <c r="C36" s="7" t="s">
        <v>536</v>
      </c>
      <c r="T36" t="s">
        <v>345</v>
      </c>
    </row>
    <row r="37" spans="3:20" x14ac:dyDescent="0.3">
      <c r="C37" s="7" t="s">
        <v>537</v>
      </c>
    </row>
    <row r="38" spans="3:20" x14ac:dyDescent="0.3">
      <c r="C38" s="7" t="s">
        <v>538</v>
      </c>
      <c r="T38" t="s">
        <v>346</v>
      </c>
    </row>
    <row r="39" spans="3:20" x14ac:dyDescent="0.3">
      <c r="C39" s="7" t="s">
        <v>11</v>
      </c>
      <c r="T39" t="s">
        <v>347</v>
      </c>
    </row>
    <row r="40" spans="3:20" x14ac:dyDescent="0.3">
      <c r="C40" s="7" t="s">
        <v>539</v>
      </c>
      <c r="T40" t="s">
        <v>348</v>
      </c>
    </row>
    <row r="41" spans="3:20" x14ac:dyDescent="0.3">
      <c r="C41" s="7" t="s">
        <v>540</v>
      </c>
      <c r="T41" t="s">
        <v>349</v>
      </c>
    </row>
    <row r="42" spans="3:20" x14ac:dyDescent="0.3">
      <c r="C42" s="7" t="s">
        <v>541</v>
      </c>
      <c r="T42" t="s">
        <v>350</v>
      </c>
    </row>
    <row r="43" spans="3:20" x14ac:dyDescent="0.3">
      <c r="C43" s="7" t="s">
        <v>542</v>
      </c>
      <c r="T43" t="s">
        <v>351</v>
      </c>
    </row>
    <row r="44" spans="3:20" x14ac:dyDescent="0.3">
      <c r="C44" s="7" t="s">
        <v>543</v>
      </c>
    </row>
    <row r="45" spans="3:20" x14ac:dyDescent="0.3">
      <c r="C45" s="7" t="s">
        <v>544</v>
      </c>
      <c r="T45" t="s">
        <v>352</v>
      </c>
    </row>
    <row r="46" spans="3:20" x14ac:dyDescent="0.3">
      <c r="C46" s="7" t="s">
        <v>545</v>
      </c>
      <c r="T46" t="s">
        <v>353</v>
      </c>
    </row>
    <row r="47" spans="3:20" x14ac:dyDescent="0.3">
      <c r="C47" s="7" t="s">
        <v>546</v>
      </c>
      <c r="T47" t="s">
        <v>354</v>
      </c>
    </row>
    <row r="48" spans="3:20" x14ac:dyDescent="0.3">
      <c r="C48" s="7" t="s">
        <v>547</v>
      </c>
    </row>
    <row r="49" spans="3:20" x14ac:dyDescent="0.3">
      <c r="C49" s="7" t="s">
        <v>548</v>
      </c>
      <c r="T49" t="s">
        <v>355</v>
      </c>
    </row>
    <row r="50" spans="3:20" x14ac:dyDescent="0.3">
      <c r="C50" s="7" t="s">
        <v>549</v>
      </c>
      <c r="T50" t="s">
        <v>356</v>
      </c>
    </row>
    <row r="51" spans="3:20" x14ac:dyDescent="0.3">
      <c r="C51" s="7" t="s">
        <v>550</v>
      </c>
      <c r="T51" t="s">
        <v>357</v>
      </c>
    </row>
    <row r="52" spans="3:20" x14ac:dyDescent="0.3">
      <c r="C52" s="7" t="s">
        <v>551</v>
      </c>
      <c r="T52" t="s">
        <v>358</v>
      </c>
    </row>
    <row r="53" spans="3:20" x14ac:dyDescent="0.3">
      <c r="C53" s="7" t="s">
        <v>552</v>
      </c>
      <c r="T53" t="s">
        <v>359</v>
      </c>
    </row>
    <row r="54" spans="3:20" x14ac:dyDescent="0.3">
      <c r="C54" s="7" t="s">
        <v>553</v>
      </c>
      <c r="T54" t="s">
        <v>360</v>
      </c>
    </row>
    <row r="55" spans="3:20" x14ac:dyDescent="0.3">
      <c r="C55" s="7" t="s">
        <v>554</v>
      </c>
    </row>
    <row r="56" spans="3:20" x14ac:dyDescent="0.3">
      <c r="C56" s="7" t="s">
        <v>555</v>
      </c>
    </row>
    <row r="57" spans="3:20" x14ac:dyDescent="0.3">
      <c r="C57" s="7" t="s">
        <v>556</v>
      </c>
    </row>
    <row r="58" spans="3:20" x14ac:dyDescent="0.3">
      <c r="C58" s="7" t="s">
        <v>557</v>
      </c>
    </row>
    <row r="59" spans="3:20" x14ac:dyDescent="0.3">
      <c r="C59" s="7" t="s">
        <v>558</v>
      </c>
    </row>
    <row r="60" spans="3:20" x14ac:dyDescent="0.3">
      <c r="C60" s="7" t="s">
        <v>559</v>
      </c>
    </row>
    <row r="61" spans="3:20" x14ac:dyDescent="0.3">
      <c r="C61" s="7" t="s">
        <v>12</v>
      </c>
    </row>
    <row r="62" spans="3:20" x14ac:dyDescent="0.3">
      <c r="C62" s="7" t="s">
        <v>560</v>
      </c>
    </row>
    <row r="63" spans="3:20" x14ac:dyDescent="0.3">
      <c r="C63" s="7" t="s">
        <v>561</v>
      </c>
    </row>
    <row r="64" spans="3:20" x14ac:dyDescent="0.3">
      <c r="C64" s="7" t="s">
        <v>562</v>
      </c>
    </row>
    <row r="65" spans="3:3" x14ac:dyDescent="0.3">
      <c r="C65" s="7" t="s">
        <v>563</v>
      </c>
    </row>
    <row r="66" spans="3:3" x14ac:dyDescent="0.3">
      <c r="C66" s="7" t="s">
        <v>564</v>
      </c>
    </row>
    <row r="67" spans="3:3" x14ac:dyDescent="0.3">
      <c r="C67" s="7" t="s">
        <v>565</v>
      </c>
    </row>
    <row r="68" spans="3:3" x14ac:dyDescent="0.3">
      <c r="C68" s="7" t="s">
        <v>566</v>
      </c>
    </row>
    <row r="69" spans="3:3" x14ac:dyDescent="0.3">
      <c r="C69" s="7" t="s">
        <v>567</v>
      </c>
    </row>
    <row r="70" spans="3:3" x14ac:dyDescent="0.3">
      <c r="C70" s="7" t="s">
        <v>568</v>
      </c>
    </row>
    <row r="71" spans="3:3" x14ac:dyDescent="0.3">
      <c r="C71" s="7" t="s">
        <v>569</v>
      </c>
    </row>
    <row r="72" spans="3:3" x14ac:dyDescent="0.3">
      <c r="C72" s="7" t="s">
        <v>570</v>
      </c>
    </row>
    <row r="73" spans="3:3" x14ac:dyDescent="0.3">
      <c r="C73" s="7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5F625E-FC4E-4209-BA76-4275A3785E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2</vt:i4>
      </vt:variant>
    </vt:vector>
  </HeadingPairs>
  <TitlesOfParts>
    <vt:vector size="6" baseType="lpstr">
      <vt:lpstr>Dela</vt:lpstr>
      <vt:lpstr>Nalog</vt:lpstr>
      <vt:lpstr>Cenik</vt:lpstr>
      <vt:lpstr>Data</vt:lpstr>
      <vt:lpstr>pacient</vt:lpstr>
      <vt:lpstr>vsota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urosjarc</cp:lastModifiedBy>
  <cp:lastPrinted>2018-08-11T08:05:23Z</cp:lastPrinted>
  <dcterms:created xsi:type="dcterms:W3CDTF">2018-08-04T07:49:29Z</dcterms:created>
  <dcterms:modified xsi:type="dcterms:W3CDTF">2020-02-02T20:53:22Z</dcterms:modified>
</cp:coreProperties>
</file>